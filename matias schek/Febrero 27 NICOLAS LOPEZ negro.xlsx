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atias schek\"/>
    </mc:Choice>
  </mc:AlternateContent>
  <xr:revisionPtr revIDLastSave="0" documentId="13_ncr:1_{6112EE9A-BE5B-4658-BFE8-B5BC1DCCFB89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D7" i="1"/>
  <c r="R20" i="1" s="1"/>
  <c r="L6" i="1"/>
  <c r="D6" i="1"/>
  <c r="R19" i="1" s="1"/>
  <c r="L5" i="1"/>
  <c r="D5" i="1"/>
  <c r="L4" i="1"/>
  <c r="D4" i="1"/>
  <c r="L3" i="1"/>
  <c r="D3" i="1"/>
  <c r="L16" i="1" l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<sst xmlns="http://schemas.openxmlformats.org/spreadsheetml/2006/main" count="40" uniqueCount="30">
  <si>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</si>
  <si>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</si>
  <si>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</si>
  <si>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</si>
  <si>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</si>
  <si>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</si>
  <si>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</si>
  <si>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</si>
  <si>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</si>
  <si>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</si>
  <si>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</si>
  <si>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</si>
  <si>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</si>
  <si>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</si>
  <si>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</si>
  <si>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</si>
  <si>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</si>
  <si>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</si>
  <si>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</si>
  <si>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</si>
  <si>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</si>
  <si>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</si>
  <si>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</si>
  <si>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</si>
  <si>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</si>
  <si>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</si>
  <si>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</si>
  <si>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 xml:space="preserve">lat </t>
  </si>
  <si>
    <t>045 Negro</t>
  </si>
  <si>
    <t xml:space="preserve">base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</si>
</sst>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"/>
      <family val="2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4">
    <xf numFmtId="0" fontId="0" fillId="0" borderId="0"/>
    <xf numFmtId="0" fontId="1" fillId="2" borderId="1">
      <protection locked="0" hidden="1"/>
    </xf>
    <xf numFmtId="0" fontId="1" fillId="0" borderId="0"/>
    <xf numFmtId="0" fontId="22" fillId="0" borderId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49" fontId="21" fillId="3" borderId="1" xfId="0" applyNumberFormat="1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3" xr:uid="{0D26556A-FEC0-417F-904F-C970CFAABAFC}"/>
    <cellStyle name="TableStyleLight1" xfId="2" xr:uid="{288E64BE-C240-4A2F-BF0D-FDB04F38A3BE}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1" zoomScale="120" zoomScaleNormal="120" workbookViewId="0">
      <selection activeCell="A20" sqref="A20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4" t="s">
        <v>0</v>
      </c>
      <c r="B1" s="44"/>
      <c r="C1" s="44"/>
      <c r="D1" s="44"/>
      <c r="E1" s="2"/>
      <c r="F1" s="44" t="s">
        <v>1</v>
      </c>
      <c r="G1" s="44"/>
      <c r="H1" s="44"/>
      <c r="I1" s="44"/>
      <c r="J1" s="44"/>
      <c r="K1" s="44"/>
      <c r="L1" s="44"/>
      <c r="O1" s="1"/>
      <c r="P1" s="1"/>
    </row>
    <row r="2" spans="1:20" ht="17.25" customHeight="1" x14ac:dyDescent="0.2">
      <c r="A2" s="45" t="s">
        <v>2</v>
      </c>
      <c r="B2" s="45"/>
      <c r="C2" s="45"/>
      <c r="D2" s="3" t="s">
        <v>3</v>
      </c>
      <c r="E2" s="4"/>
      <c r="F2" s="46" t="s">
        <v>4</v>
      </c>
      <c r="G2" s="46"/>
      <c r="H2" s="46"/>
      <c r="I2" s="46"/>
      <c r="J2" s="46"/>
      <c r="K2" s="46"/>
      <c r="L2" s="3" t="s">
        <v>5</v>
      </c>
      <c r="M2"/>
      <c r="O2" s="1"/>
      <c r="P2" s="1"/>
      <c r="Q2" s="1"/>
    </row>
    <row r="3" spans="1:20" ht="14.1" customHeight="1" x14ac:dyDescent="0.25">
      <c r="A3" s="47" t="s">
        <v>28</v>
      </c>
      <c r="B3" s="47"/>
      <c r="C3" s="47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81.408000000000001</v>
      </c>
      <c r="F3" s="48">
        <v>9119872</v>
      </c>
      <c r="G3" s="48"/>
      <c r="H3" s="48"/>
      <c r="I3" s="48"/>
      <c r="J3" s="48"/>
      <c r="K3" s="48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7"/>
      <c r="B4" s="47"/>
      <c r="C4" s="47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9"/>
      <c r="G4" s="49"/>
      <c r="H4" s="49"/>
      <c r="I4" s="49"/>
      <c r="J4" s="49"/>
      <c r="K4" s="49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7"/>
      <c r="B5" s="47"/>
      <c r="C5" s="47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9"/>
      <c r="G5" s="49"/>
      <c r="H5" s="49"/>
      <c r="I5" s="49"/>
      <c r="J5" s="49"/>
      <c r="K5" s="49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7"/>
      <c r="B6" s="47"/>
      <c r="C6" s="47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9"/>
      <c r="G6" s="49"/>
      <c r="H6" s="49"/>
      <c r="I6" s="49"/>
      <c r="J6" s="49"/>
      <c r="K6" s="49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7"/>
      <c r="B7" s="47"/>
      <c r="C7" s="47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9"/>
      <c r="G7" s="49"/>
      <c r="H7" s="49"/>
      <c r="I7" s="49"/>
      <c r="J7" s="49"/>
      <c r="K7" s="49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7"/>
      <c r="B8" s="47"/>
      <c r="C8" s="47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9"/>
      <c r="G8" s="49"/>
      <c r="H8" s="49"/>
      <c r="I8" s="49"/>
      <c r="J8" s="49"/>
      <c r="K8" s="49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7"/>
      <c r="B9" s="47"/>
      <c r="C9" s="47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9"/>
      <c r="G9" s="49"/>
      <c r="H9" s="49"/>
      <c r="I9" s="49"/>
      <c r="J9" s="49"/>
      <c r="K9" s="49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7"/>
      <c r="B10" s="47"/>
      <c r="C10" s="47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9"/>
      <c r="G10" s="49"/>
      <c r="H10" s="49"/>
      <c r="I10" s="49"/>
      <c r="J10" s="49"/>
      <c r="K10" s="49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50" t="s">
        <v>6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20" ht="27.75" x14ac:dyDescent="0.2">
      <c r="A12" s="44" t="s">
        <v>7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11"/>
      <c r="N12" s="11"/>
    </row>
    <row r="13" spans="1:20" ht="41.1" customHeight="1" x14ac:dyDescent="0.2">
      <c r="A13" s="51" t="s">
        <v>8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12"/>
      <c r="N13" s="11"/>
    </row>
    <row r="14" spans="1:20" ht="15" x14ac:dyDescent="0.25">
      <c r="A14" s="52" t="s">
        <v>9</v>
      </c>
      <c r="B14" s="52" t="s">
        <v>10</v>
      </c>
      <c r="C14" s="52" t="s">
        <v>11</v>
      </c>
      <c r="D14" s="52" t="s">
        <v>12</v>
      </c>
      <c r="E14" s="52" t="s">
        <v>13</v>
      </c>
      <c r="F14" s="52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2"/>
      <c r="B15" s="52"/>
      <c r="C15" s="52"/>
      <c r="D15" s="52"/>
      <c r="E15" s="52"/>
      <c r="F15" s="52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20.311200000000003</v>
      </c>
      <c r="R15" s="19" t="s">
        <v>24</v>
      </c>
      <c r="S15" s="20" t="s">
        <v>25</v>
      </c>
    </row>
    <row r="16" spans="1:20" ht="15.75" x14ac:dyDescent="0.25">
      <c r="A16" s="21">
        <v>9119872</v>
      </c>
      <c r="B16" s="22">
        <v>8</v>
      </c>
      <c r="C16" s="23">
        <v>800</v>
      </c>
      <c r="D16" s="24">
        <v>200</v>
      </c>
      <c r="E16" s="25" t="s">
        <v>29</v>
      </c>
      <c r="F16" s="26"/>
      <c r="G16" s="27">
        <v>1</v>
      </c>
      <c r="H16" s="28"/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6.4</v>
      </c>
      <c r="Q16">
        <v>1</v>
      </c>
      <c r="R16" s="34">
        <f>((SUMIF(G16:G1016,D3,Hoja3!A1:A1001)+SUMIF(H16:H1016,D3,Hoja3!B1:B1001)+SUMIF(I16:I1016,D3,Hoja3!C1:C1001)+SUMIF(J16:J1016,D3,Hoja3!D1:D1001))/1000)*1.05</f>
        <v>20.311200000000003</v>
      </c>
      <c r="S16" s="35" t="str">
        <f t="shared" ref="S16:S23" si="1">A3</f>
        <v>045 Negro</v>
      </c>
    </row>
    <row r="17" spans="1:19" ht="15.75" x14ac:dyDescent="0.25">
      <c r="A17" s="21">
        <v>9119872</v>
      </c>
      <c r="B17" s="22">
        <v>12</v>
      </c>
      <c r="C17" s="23">
        <v>500</v>
      </c>
      <c r="D17" s="24">
        <v>200</v>
      </c>
      <c r="E17" s="25" t="s">
        <v>27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6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9119872</v>
      </c>
      <c r="B18" s="22">
        <v>4</v>
      </c>
      <c r="C18" s="23">
        <v>1036</v>
      </c>
      <c r="D18" s="24">
        <v>200</v>
      </c>
      <c r="E18" s="25" t="s">
        <v>27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4.1440000000000001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9119872</v>
      </c>
      <c r="B19" s="22">
        <v>4</v>
      </c>
      <c r="C19" s="23">
        <v>500</v>
      </c>
      <c r="D19" s="24">
        <v>200</v>
      </c>
      <c r="E19" s="25" t="s">
        <v>29</v>
      </c>
      <c r="F19" s="25"/>
      <c r="G19" s="36">
        <v>1</v>
      </c>
      <c r="H19" s="36"/>
      <c r="I19" s="36">
        <v>1</v>
      </c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2.8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/>
      <c r="B20" s="22"/>
      <c r="C20" s="23"/>
      <c r="D20" s="24"/>
      <c r="E20" s="25"/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/>
      <c r="B21" s="22"/>
      <c r="C21" s="23"/>
      <c r="D21" s="24"/>
      <c r="E21" s="25"/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/>
      <c r="B22" s="22"/>
      <c r="C22" s="23"/>
      <c r="D22" s="24"/>
      <c r="E22" s="25"/>
      <c r="F22" s="25"/>
      <c r="G22" s="37"/>
      <c r="H22" s="37"/>
      <c r="I22" s="37"/>
      <c r="J22" s="37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43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43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20.311200000000003</v>
      </c>
      <c r="S24" s="39" t="s">
        <v>26</v>
      </c>
    </row>
    <row r="25" spans="1:19" ht="14.25" x14ac:dyDescent="0.2">
      <c r="A25" s="43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ht="14.25" x14ac:dyDescent="0.2">
      <c r="A26" s="43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ht="14.25" x14ac:dyDescent="0.2">
      <c r="A28" s="43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ht="14.25" x14ac:dyDescent="0.2">
      <c r="A29" s="43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ht="14.25" x14ac:dyDescent="0.2">
      <c r="A30" s="43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ht="14.25" x14ac:dyDescent="0.2">
      <c r="A31" s="43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ht="14.25" x14ac:dyDescent="0.2">
      <c r="A32" s="43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ht="14.25" x14ac:dyDescent="0.2">
      <c r="A33" s="43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ht="14.25" x14ac:dyDescent="0.2">
      <c r="A34" s="43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ht="14.25" x14ac:dyDescent="0.2">
      <c r="A35" s="43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ht="14.25" x14ac:dyDescent="0.2">
      <c r="A36" s="43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ht="14.25" x14ac:dyDescent="0.2">
      <c r="A37" s="43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ht="14.25" x14ac:dyDescent="0.2">
      <c r="A38" s="43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ht="14.25" x14ac:dyDescent="0.2">
      <c r="A39" s="43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7 A27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6400</v>
      </c>
      <c r="B1">
        <f>Hoja1!B16*Hoja1!C16</f>
        <v>6400</v>
      </c>
      <c r="C1">
        <f>Hoja1!B16*Hoja1!D16</f>
        <v>1600</v>
      </c>
      <c r="D1">
        <f>Hoja1!B16*Hoja1!D16</f>
        <v>1600</v>
      </c>
    </row>
    <row r="2" spans="1:4" x14ac:dyDescent="0.2">
      <c r="A2">
        <f>Hoja1!B17*Hoja1!C17</f>
        <v>6000</v>
      </c>
      <c r="B2">
        <f>Hoja1!B17*Hoja1!C17</f>
        <v>6000</v>
      </c>
      <c r="C2">
        <f>Hoja1!B17*Hoja1!D17</f>
        <v>2400</v>
      </c>
      <c r="D2">
        <f>Hoja1!B17*Hoja1!D17</f>
        <v>2400</v>
      </c>
    </row>
    <row r="3" spans="1:4" x14ac:dyDescent="0.2">
      <c r="A3">
        <f>Hoja1!B18*Hoja1!C18</f>
        <v>4144</v>
      </c>
      <c r="B3">
        <f>Hoja1!B18*Hoja1!C18</f>
        <v>4144</v>
      </c>
      <c r="C3">
        <f>Hoja1!B18*Hoja1!D18</f>
        <v>800</v>
      </c>
      <c r="D3">
        <f>Hoja1!B18*Hoja1!D18</f>
        <v>800</v>
      </c>
    </row>
    <row r="4" spans="1:4" x14ac:dyDescent="0.2">
      <c r="A4">
        <f>Hoja1!B19*Hoja1!C19</f>
        <v>2000</v>
      </c>
      <c r="B4">
        <f>Hoja1!B19*Hoja1!C19</f>
        <v>2000</v>
      </c>
      <c r="C4">
        <f>Hoja1!B19*Hoja1!D19</f>
        <v>800</v>
      </c>
      <c r="D4">
        <f>Hoja1!B19*Hoja1!D19</f>
        <v>800</v>
      </c>
    </row>
    <row r="5" spans="1:4" x14ac:dyDescent="0.2">
      <c r="A5">
        <f>Hoja1!B20*Hoja1!C20</f>
        <v>0</v>
      </c>
      <c r="B5">
        <f>Hoja1!B20*Hoja1!C20</f>
        <v>0</v>
      </c>
      <c r="C5">
        <f>Hoja1!B20*Hoja1!D20</f>
        <v>0</v>
      </c>
      <c r="D5">
        <f>Hoja1!B20*Hoja1!D20</f>
        <v>0</v>
      </c>
    </row>
    <row r="6" spans="1:4" x14ac:dyDescent="0.2">
      <c r="A6">
        <f>Hoja1!B21*Hoja1!C21</f>
        <v>0</v>
      </c>
      <c r="B6">
        <f>Hoja1!B21*Hoja1!C21</f>
        <v>0</v>
      </c>
      <c r="C6">
        <f>Hoja1!B21*Hoja1!D21</f>
        <v>0</v>
      </c>
      <c r="D6">
        <f>Hoja1!B21*Hoja1!D21</f>
        <v>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2025-02-27T19:33:35Z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