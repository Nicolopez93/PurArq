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matias schek\"/>
    </mc:Choice>
  </mc:AlternateContent>
  <xr:revisionPtr revIDLastSave="0" documentId="13_ncr:1_{0685641F-1B97-4FD8-BC00-DBABE0F6B9F9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D5" i="1"/>
  <c r="E5" i="1" s="1"/>
  <c r="L4" i="1"/>
  <c r="D4" i="1"/>
  <c r="L3" i="1"/>
  <c r="D3" i="1"/>
  <c r="R18" i="1" l="1"/>
  <c r="L46" i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<sst xmlns="http://schemas.openxmlformats.org/spreadsheetml/2006/main" count="51" uniqueCount="41">
  <si>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</si>
  <si>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</si>
  <si>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</si>
  <si>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</si>
  <si>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</si>
  <si>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</si>
  <si>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</si>
  <si>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</si>
  <si>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</si>
  <si>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</si>
  <si>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</si>
  <si>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</si>
  <si>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</si>
  <si>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</si>
  <si>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</si>
  <si>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</si>
  <si>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</si>
  <si>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</si>
  <si>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</si>
  <si>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</si>
  <si>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</si>
  <si>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</si>
  <si>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</si>
  <si>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</si>
  <si>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</si>
  <si>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</si>
  <si>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</si>
  <si>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045 Negro</t>
  </si>
  <si>
    <t>base escri</t>
  </si>
  <si>
    <t>base escri 2</t>
  </si>
  <si>
    <t>lat escri 1,2</t>
  </si>
  <si>
    <t>estante 1</t>
  </si>
  <si>
    <t>base escri fin</t>
  </si>
  <si>
    <t>late escri fin</t>
  </si>
  <si>
    <t>basee</t>
  </si>
  <si>
    <t>lateeeee</t>
  </si>
  <si>
    <t>zocalo</t>
  </si>
  <si>
    <t>puerta</t>
  </si>
  <si>
    <t>lat cajon</t>
  </si>
  <si>
    <t>tapas cajon</t>
  </si>
  <si>
    <t>soporte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</si>
</sst>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zoomScale="130" zoomScaleNormal="130" workbookViewId="0">
      <selection activeCell="A32" sqref="A32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27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412.54500000000002</v>
      </c>
      <c r="F3" s="51">
        <v>9119872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36.117899999999999</v>
      </c>
      <c r="R15" s="19" t="s">
        <v>24</v>
      </c>
      <c r="S15" s="20" t="s">
        <v>25</v>
      </c>
    </row>
    <row r="16" spans="1:20" ht="15.75" x14ac:dyDescent="0.25">
      <c r="A16" s="21">
        <v>9119872</v>
      </c>
      <c r="B16" s="22">
        <v>2</v>
      </c>
      <c r="C16" s="23">
        <v>900</v>
      </c>
      <c r="D16" s="24">
        <v>400</v>
      </c>
      <c r="E16" s="25" t="s">
        <v>28</v>
      </c>
      <c r="F16" s="26"/>
      <c r="G16" s="27">
        <v>1</v>
      </c>
      <c r="H16" s="28"/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2.6</v>
      </c>
      <c r="Q16">
        <v>1</v>
      </c>
      <c r="R16" s="34">
        <f>((SUMIF(G16:G1016,D3,Hoja3!A1:A1001)+SUMIF(H16:H1016,D3,Hoja3!B1:B1001)+SUMIF(I16:I1016,D3,Hoja3!C1:C1001)+SUMIF(J16:J1016,D3,Hoja3!D1:D1001))/1000)*1.05</f>
        <v>36.117900000000006</v>
      </c>
      <c r="S16" s="35" t="str">
        <f t="shared" ref="S16:S23" si="1">A3</f>
        <v>045 Negro</v>
      </c>
    </row>
    <row r="17" spans="1:19" ht="15.75" x14ac:dyDescent="0.25">
      <c r="A17" s="21">
        <v>9119872</v>
      </c>
      <c r="B17" s="22">
        <v>2</v>
      </c>
      <c r="C17" s="23">
        <v>450</v>
      </c>
      <c r="D17" s="24">
        <v>400</v>
      </c>
      <c r="E17" s="25" t="s">
        <v>29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0.9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9119872</v>
      </c>
      <c r="B18" s="22">
        <v>4</v>
      </c>
      <c r="C18" s="23">
        <v>626</v>
      </c>
      <c r="D18" s="24">
        <v>400</v>
      </c>
      <c r="E18" s="25" t="s">
        <v>30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5.008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9119872</v>
      </c>
      <c r="B19" s="22">
        <v>1</v>
      </c>
      <c r="C19" s="23">
        <v>864</v>
      </c>
      <c r="D19" s="24">
        <v>400</v>
      </c>
      <c r="E19" s="25" t="s">
        <v>31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0.86399999999999999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9119872</v>
      </c>
      <c r="B20" s="22">
        <v>1</v>
      </c>
      <c r="C20" s="23">
        <v>1350</v>
      </c>
      <c r="D20" s="24">
        <v>420</v>
      </c>
      <c r="E20" s="25" t="s">
        <v>32</v>
      </c>
      <c r="F20" s="25"/>
      <c r="G20" s="36">
        <v>1</v>
      </c>
      <c r="H20" s="36"/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0" s="33">
        <f t="shared" si="0"/>
        <v>2.19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9119872</v>
      </c>
      <c r="B21" s="22">
        <v>1</v>
      </c>
      <c r="C21" s="23">
        <v>750</v>
      </c>
      <c r="D21" s="24">
        <v>420</v>
      </c>
      <c r="E21" s="25" t="s">
        <v>33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0.75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9119872</v>
      </c>
      <c r="B22" s="22">
        <v>1</v>
      </c>
      <c r="C22" s="23">
        <v>1500</v>
      </c>
      <c r="D22" s="24">
        <v>650</v>
      </c>
      <c r="E22" s="25" t="s">
        <v>34</v>
      </c>
      <c r="F22" s="25"/>
      <c r="G22" s="36">
        <v>1</v>
      </c>
      <c r="H22" s="36">
        <v>1</v>
      </c>
      <c r="I22" s="36">
        <v>1</v>
      </c>
      <c r="J22" s="36">
        <v>1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2" s="33">
        <f t="shared" si="0"/>
        <v>4.3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9119872</v>
      </c>
      <c r="B23" s="22">
        <v>1</v>
      </c>
      <c r="C23" s="23">
        <v>750</v>
      </c>
      <c r="D23" s="24">
        <v>650</v>
      </c>
      <c r="E23" s="25" t="s">
        <v>35</v>
      </c>
      <c r="F23" s="25"/>
      <c r="G23" s="37">
        <v>1</v>
      </c>
      <c r="H23" s="37">
        <v>1</v>
      </c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1.5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9119872</v>
      </c>
      <c r="B24" s="22">
        <v>2</v>
      </c>
      <c r="C24" s="23">
        <v>1350</v>
      </c>
      <c r="D24" s="24">
        <v>70</v>
      </c>
      <c r="E24" s="25" t="s">
        <v>36</v>
      </c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36.117900000000006</v>
      </c>
      <c r="S24" s="39" t="s">
        <v>26</v>
      </c>
    </row>
    <row r="25" spans="1:19" x14ac:dyDescent="0.2">
      <c r="A25" s="21">
        <v>9119872</v>
      </c>
      <c r="B25" s="22">
        <v>2</v>
      </c>
      <c r="C25" s="23">
        <v>328</v>
      </c>
      <c r="D25" s="24">
        <v>70</v>
      </c>
      <c r="E25" s="25" t="s">
        <v>36</v>
      </c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>
        <v>9119872</v>
      </c>
      <c r="B26" s="22">
        <v>2</v>
      </c>
      <c r="C26" s="23">
        <v>448</v>
      </c>
      <c r="D26" s="24">
        <v>658</v>
      </c>
      <c r="E26" s="25" t="s">
        <v>37</v>
      </c>
      <c r="F26" s="25"/>
      <c r="G26" s="37">
        <v>1</v>
      </c>
      <c r="H26" s="37">
        <v>1</v>
      </c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6" s="33">
        <f t="shared" si="0"/>
        <v>4.4240000000000004</v>
      </c>
    </row>
    <row r="27" spans="1:19" x14ac:dyDescent="0.2">
      <c r="A27" s="21">
        <v>9119872</v>
      </c>
      <c r="B27" s="22">
        <v>6</v>
      </c>
      <c r="C27" s="23">
        <v>387</v>
      </c>
      <c r="D27" s="24">
        <v>150</v>
      </c>
      <c r="E27" s="25" t="s">
        <v>38</v>
      </c>
      <c r="F27" s="25"/>
      <c r="G27" s="37">
        <v>1</v>
      </c>
      <c r="H27" s="37"/>
      <c r="I27" s="37">
        <v>1</v>
      </c>
      <c r="J27" s="37">
        <v>1</v>
      </c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7" s="33">
        <f t="shared" si="0"/>
        <v>4.1219999999999999</v>
      </c>
    </row>
    <row r="28" spans="1:19" x14ac:dyDescent="0.2">
      <c r="A28" s="21">
        <v>9119872</v>
      </c>
      <c r="B28" s="22">
        <v>6</v>
      </c>
      <c r="C28" s="23">
        <v>314</v>
      </c>
      <c r="D28" s="24">
        <v>150</v>
      </c>
      <c r="E28" s="25" t="s">
        <v>38</v>
      </c>
      <c r="F28" s="25"/>
      <c r="G28" s="37">
        <v>1</v>
      </c>
      <c r="H28" s="37">
        <v>1</v>
      </c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3.7679999999999998</v>
      </c>
    </row>
    <row r="29" spans="1:19" x14ac:dyDescent="0.2">
      <c r="A29" s="21">
        <v>9119872</v>
      </c>
      <c r="B29" s="22">
        <v>3</v>
      </c>
      <c r="C29" s="23">
        <v>446</v>
      </c>
      <c r="D29" s="24">
        <v>216</v>
      </c>
      <c r="E29" s="25" t="s">
        <v>39</v>
      </c>
      <c r="F29" s="25"/>
      <c r="G29" s="37">
        <v>1</v>
      </c>
      <c r="H29" s="37">
        <v>1</v>
      </c>
      <c r="I29" s="37">
        <v>1</v>
      </c>
      <c r="J29" s="37">
        <v>1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9" s="33">
        <f t="shared" si="0"/>
        <v>3.972</v>
      </c>
    </row>
    <row r="30" spans="1:19" x14ac:dyDescent="0.2">
      <c r="A30" s="21">
        <v>9119872</v>
      </c>
      <c r="B30" s="22">
        <v>1</v>
      </c>
      <c r="C30" s="23">
        <v>1482</v>
      </c>
      <c r="D30" s="24">
        <v>80</v>
      </c>
      <c r="E30" s="25" t="s">
        <v>40</v>
      </c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1800</v>
      </c>
      <c r="B1">
        <f>Hoja1!B16*Hoja1!C16</f>
        <v>1800</v>
      </c>
      <c r="C1">
        <f>Hoja1!B16*Hoja1!D16</f>
        <v>800</v>
      </c>
      <c r="D1">
        <f>Hoja1!B16*Hoja1!D16</f>
        <v>800</v>
      </c>
    </row>
    <row r="2" spans="1:4" x14ac:dyDescent="0.2">
      <c r="A2">
        <f>Hoja1!B17*Hoja1!C17</f>
        <v>900</v>
      </c>
      <c r="B2">
        <f>Hoja1!B17*Hoja1!C17</f>
        <v>900</v>
      </c>
      <c r="C2">
        <f>Hoja1!B17*Hoja1!D17</f>
        <v>800</v>
      </c>
      <c r="D2">
        <f>Hoja1!B17*Hoja1!D17</f>
        <v>800</v>
      </c>
    </row>
    <row r="3" spans="1:4" x14ac:dyDescent="0.2">
      <c r="A3">
        <f>Hoja1!B18*Hoja1!C18</f>
        <v>2504</v>
      </c>
      <c r="B3">
        <f>Hoja1!B18*Hoja1!C18</f>
        <v>2504</v>
      </c>
      <c r="C3">
        <f>Hoja1!B18*Hoja1!D18</f>
        <v>1600</v>
      </c>
      <c r="D3">
        <f>Hoja1!B18*Hoja1!D18</f>
        <v>1600</v>
      </c>
    </row>
    <row r="4" spans="1:4" x14ac:dyDescent="0.2">
      <c r="A4">
        <f>Hoja1!B19*Hoja1!C19</f>
        <v>864</v>
      </c>
      <c r="B4">
        <f>Hoja1!B19*Hoja1!C19</f>
        <v>864</v>
      </c>
      <c r="C4">
        <f>Hoja1!B19*Hoja1!D19</f>
        <v>400</v>
      </c>
      <c r="D4">
        <f>Hoja1!B19*Hoja1!D19</f>
        <v>400</v>
      </c>
    </row>
    <row r="5" spans="1:4" x14ac:dyDescent="0.2">
      <c r="A5">
        <f>Hoja1!B20*Hoja1!C20</f>
        <v>1350</v>
      </c>
      <c r="B5">
        <f>Hoja1!B20*Hoja1!C20</f>
        <v>1350</v>
      </c>
      <c r="C5">
        <f>Hoja1!B20*Hoja1!D20</f>
        <v>420</v>
      </c>
      <c r="D5">
        <f>Hoja1!B20*Hoja1!D20</f>
        <v>420</v>
      </c>
    </row>
    <row r="6" spans="1:4" x14ac:dyDescent="0.2">
      <c r="A6">
        <f>Hoja1!B21*Hoja1!C21</f>
        <v>750</v>
      </c>
      <c r="B6">
        <f>Hoja1!B21*Hoja1!C21</f>
        <v>750</v>
      </c>
      <c r="C6">
        <f>Hoja1!B21*Hoja1!D21</f>
        <v>420</v>
      </c>
      <c r="D6">
        <f>Hoja1!B21*Hoja1!D21</f>
        <v>420</v>
      </c>
    </row>
    <row r="7" spans="1:4" x14ac:dyDescent="0.2">
      <c r="A7">
        <f>Hoja1!B22*Hoja1!C22</f>
        <v>1500</v>
      </c>
      <c r="B7">
        <f>Hoja1!B22*Hoja1!C22</f>
        <v>1500</v>
      </c>
      <c r="C7">
        <f>Hoja1!B22*Hoja1!D22</f>
        <v>650</v>
      </c>
      <c r="D7">
        <f>Hoja1!B22*Hoja1!D22</f>
        <v>650</v>
      </c>
    </row>
    <row r="8" spans="1:4" x14ac:dyDescent="0.2">
      <c r="A8">
        <f>Hoja1!B23*Hoja1!C23</f>
        <v>750</v>
      </c>
      <c r="B8">
        <f>Hoja1!B23*Hoja1!C23</f>
        <v>750</v>
      </c>
      <c r="C8">
        <f>Hoja1!B23*Hoja1!D23</f>
        <v>650</v>
      </c>
      <c r="D8">
        <f>Hoja1!B23*Hoja1!D23</f>
        <v>650</v>
      </c>
    </row>
    <row r="9" spans="1:4" x14ac:dyDescent="0.2">
      <c r="A9">
        <f>Hoja1!B24*Hoja1!C24</f>
        <v>2700</v>
      </c>
      <c r="B9">
        <f>Hoja1!B24*Hoja1!C24</f>
        <v>2700</v>
      </c>
      <c r="C9">
        <f>Hoja1!B24*Hoja1!D24</f>
        <v>140</v>
      </c>
      <c r="D9">
        <f>Hoja1!B24*Hoja1!D24</f>
        <v>140</v>
      </c>
    </row>
    <row r="10" spans="1:4" x14ac:dyDescent="0.2">
      <c r="A10">
        <f>Hoja1!B25*Hoja1!C25</f>
        <v>656</v>
      </c>
      <c r="B10">
        <f>Hoja1!B25*Hoja1!C25</f>
        <v>656</v>
      </c>
      <c r="C10">
        <f>Hoja1!B25*Hoja1!D25</f>
        <v>140</v>
      </c>
      <c r="D10">
        <f>Hoja1!B25*Hoja1!D25</f>
        <v>140</v>
      </c>
    </row>
    <row r="11" spans="1:4" x14ac:dyDescent="0.2">
      <c r="A11">
        <f>Hoja1!B26*Hoja1!C26</f>
        <v>896</v>
      </c>
      <c r="B11">
        <f>Hoja1!B26*Hoja1!C26</f>
        <v>896</v>
      </c>
      <c r="C11">
        <f>Hoja1!B26*Hoja1!D26</f>
        <v>1316</v>
      </c>
      <c r="D11">
        <f>Hoja1!B26*Hoja1!D26</f>
        <v>1316</v>
      </c>
    </row>
    <row r="12" spans="1:4" x14ac:dyDescent="0.2">
      <c r="A12">
        <f>Hoja1!B27*Hoja1!C27</f>
        <v>2322</v>
      </c>
      <c r="B12">
        <f>Hoja1!B27*Hoja1!C27</f>
        <v>2322</v>
      </c>
      <c r="C12">
        <f>Hoja1!B27*Hoja1!D27</f>
        <v>900</v>
      </c>
      <c r="D12">
        <f>Hoja1!B27*Hoja1!D27</f>
        <v>900</v>
      </c>
    </row>
    <row r="13" spans="1:4" x14ac:dyDescent="0.2">
      <c r="A13">
        <f>Hoja1!B28*Hoja1!C28</f>
        <v>1884</v>
      </c>
      <c r="B13">
        <f>Hoja1!B28*Hoja1!C28</f>
        <v>1884</v>
      </c>
      <c r="C13">
        <f>Hoja1!B28*Hoja1!D28</f>
        <v>900</v>
      </c>
      <c r="D13">
        <f>Hoja1!B28*Hoja1!D28</f>
        <v>900</v>
      </c>
    </row>
    <row r="14" spans="1:4" x14ac:dyDescent="0.2">
      <c r="A14">
        <f>Hoja1!B29*Hoja1!C29</f>
        <v>1338</v>
      </c>
      <c r="B14">
        <f>Hoja1!B29*Hoja1!C29</f>
        <v>1338</v>
      </c>
      <c r="C14">
        <f>Hoja1!B29*Hoja1!D29</f>
        <v>648</v>
      </c>
      <c r="D14">
        <f>Hoja1!B29*Hoja1!D29</f>
        <v>648</v>
      </c>
    </row>
    <row r="15" spans="1:4" x14ac:dyDescent="0.2">
      <c r="A15">
        <f>Hoja1!B30*Hoja1!C30</f>
        <v>1482</v>
      </c>
      <c r="B15">
        <f>Hoja1!B30*Hoja1!C30</f>
        <v>1482</v>
      </c>
      <c r="C15">
        <f>Hoja1!B30*Hoja1!D30</f>
        <v>80</v>
      </c>
      <c r="D15">
        <f>Hoja1!B30*Hoja1!D30</f>
        <v>80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2025-03-26T19:02:11Z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