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ios\"/>
    </mc:Choice>
  </mc:AlternateContent>
  <xr:revisionPtr revIDLastSave="0" documentId="8_{C639EAD5-F8D6-4DB1-9679-60F41C10BF73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<sst xmlns="http://schemas.openxmlformats.org/spreadsheetml/2006/main" count="46" uniqueCount="34">
  <si>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</si>
  <si>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</si>
  <si>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</si>
  <si>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</si>
  <si>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</si>
  <si>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</si>
  <si>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>040 BLANCO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</si>
  <si>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</si>
  <si>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</si>
  <si>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</si>
  <si>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</si>
  <si>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</si>
  <si>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</si>
  <si>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</si>
  <si>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</si>
  <si>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</si>
  <si>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</si>
  <si>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</si>
  <si>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</si>
  <si>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</si>
  <si>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</si>
  <si>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</si>
  <si>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</si>
  <si>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</si>
  <si>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</si>
  <si>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</si>
  <si>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</si>
  <si>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</si>
  <si>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</si>
  <si>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base </t>
  </si>
  <si>
    <t>estante</t>
  </si>
  <si>
    <t xml:space="preserve">lat </t>
  </si>
  <si>
    <t>lat ana</t>
  </si>
  <si>
    <t>estante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</si>
</sst>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Normal="100" workbookViewId="0">
      <selection activeCell="F19" sqref="F1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6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74.790000000000006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7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8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10</v>
      </c>
      <c r="B14" s="51" t="s">
        <v>11</v>
      </c>
      <c r="C14" s="51" t="s">
        <v>12</v>
      </c>
      <c r="D14" s="51" t="s">
        <v>13</v>
      </c>
      <c r="E14" s="51" t="s">
        <v>14</v>
      </c>
      <c r="F14" s="51" t="s">
        <v>15</v>
      </c>
      <c r="G14" s="13" t="s">
        <v>12</v>
      </c>
      <c r="H14" s="13" t="s">
        <v>12</v>
      </c>
      <c r="I14" s="13" t="s">
        <v>13</v>
      </c>
      <c r="J14" s="13" t="s">
        <v>13</v>
      </c>
      <c r="K14" s="14" t="s">
        <v>16</v>
      </c>
      <c r="L14" s="14" t="s">
        <v>16</v>
      </c>
      <c r="M14" s="14" t="s">
        <v>16</v>
      </c>
      <c r="N14" s="14" t="s">
        <v>17</v>
      </c>
      <c r="O14" s="15" t="s">
        <v>18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19</v>
      </c>
      <c r="H15" s="16" t="s">
        <v>20</v>
      </c>
      <c r="I15" s="16" t="s">
        <v>21</v>
      </c>
      <c r="J15" s="16" t="s">
        <v>22</v>
      </c>
      <c r="K15" s="17" t="s">
        <v>23</v>
      </c>
      <c r="L15" s="17" t="s">
        <v>23</v>
      </c>
      <c r="M15" s="17" t="s">
        <v>24</v>
      </c>
      <c r="N15" s="17" t="s">
        <v>13</v>
      </c>
      <c r="O15" s="18">
        <f>SUM(O16:O1016)*1.05</f>
        <v>14.4816</v>
      </c>
      <c r="R15" s="19" t="s">
        <v>25</v>
      </c>
      <c r="S15" s="20" t="s">
        <v>26</v>
      </c>
    </row>
    <row r="16" spans="1:20" ht="15.75" x14ac:dyDescent="0.25">
      <c r="A16" s="21" t="s">
        <v>27</v>
      </c>
      <c r="B16" s="22">
        <v>2</v>
      </c>
      <c r="C16" s="23">
        <v>1000</v>
      </c>
      <c r="D16" s="24">
        <v>400</v>
      </c>
      <c r="E16" s="25" t="s">
        <v>29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47" si="0">(IF(G16&gt;0,C16,0)+IF(H16&gt;0,C16,0)+IF(I16&gt;0,D16,0)+IF(J16&gt;0,D16,0))*B16/1000</f>
        <v>2</v>
      </c>
      <c r="Q16">
        <v>1</v>
      </c>
      <c r="R16" s="34">
        <f>((SUMIF(G16:G1016,D3,Hoja3!A1:A1001)+SUMIF(H16:H1016,D3,Hoja3!B1:B1001)+SUMIF(I16:I1016,D3,Hoja3!C1:C1001)+SUMIF(J16:J1016,D3,Hoja3!D1:D1001))/1000)*1.05</f>
        <v>14.4816</v>
      </c>
      <c r="S16" s="35" t="str">
        <f t="shared" ref="S16:S23" si="1">A3</f>
        <v>040 BLANCO</v>
      </c>
    </row>
    <row r="17" spans="1:19" ht="15.75" x14ac:dyDescent="0.25">
      <c r="A17" s="21" t="s">
        <v>27</v>
      </c>
      <c r="B17" s="22">
        <v>5</v>
      </c>
      <c r="C17" s="23">
        <v>964</v>
      </c>
      <c r="D17" s="24">
        <v>320</v>
      </c>
      <c r="E17" s="25" t="s">
        <v>30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4.82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27</v>
      </c>
      <c r="B18" s="22">
        <v>2</v>
      </c>
      <c r="C18" s="23">
        <v>1864</v>
      </c>
      <c r="D18" s="24">
        <v>400</v>
      </c>
      <c r="E18" s="25" t="s">
        <v>31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3.7280000000000002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27</v>
      </c>
      <c r="B19" s="22">
        <v>4</v>
      </c>
      <c r="C19" s="23">
        <v>464</v>
      </c>
      <c r="D19" s="24">
        <v>400</v>
      </c>
      <c r="E19" s="25" t="s">
        <v>32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1.8560000000000001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27</v>
      </c>
      <c r="B20" s="22">
        <v>2</v>
      </c>
      <c r="C20" s="23">
        <v>694</v>
      </c>
      <c r="D20" s="24">
        <v>400</v>
      </c>
      <c r="E20" s="25" t="s">
        <v>33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1.3879999999999999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7"/>
      <c r="H22" s="37"/>
      <c r="I22" s="37"/>
      <c r="J22" s="37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14.4816</v>
      </c>
      <c r="S24" s="39" t="s">
        <v>28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ref="O48:O79" si="2">(IF(G48&gt;0,C48,0)+IF(H48&gt;0,C48,0)+IF(I48&gt;0,D48,0)+IF(J48&gt;0,D48,0))*B48/1000</f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2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2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2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2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2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2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2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2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2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2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2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2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2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2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2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2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2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2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2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2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2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2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2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2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2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2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2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2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2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2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2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11" si="3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3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3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3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3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3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3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3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3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3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3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3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3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3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3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3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3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3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3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3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3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3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3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3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3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3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3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3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3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3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3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3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ref="O112:O143" si="4">(IF(G112&gt;0,C112,0)+IF(H112&gt;0,C112,0)+IF(I112&gt;0,D112,0)+IF(J112&gt;0,D112,0))*B112/1000</f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4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4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4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4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4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4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4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4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4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4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4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4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4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4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4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4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4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4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4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4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4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4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4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4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4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4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4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4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4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4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4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5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5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5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5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5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5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5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5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5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5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5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5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5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5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5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5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5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5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5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5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5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5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5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5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5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5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5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5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5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5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5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5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5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5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5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5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5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5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5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5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5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5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5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5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5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5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5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5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5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5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5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5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5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5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5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5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5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5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5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5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5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5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5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5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6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6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6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6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6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6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6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6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6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6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6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6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6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6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6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6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6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6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6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6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6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6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6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6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6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6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6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6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6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6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6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6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6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6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6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6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6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6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6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6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6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6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6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6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6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6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6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6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6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6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6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6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6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6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6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6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6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6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6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6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6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6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6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6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7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7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7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7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7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7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7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7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7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7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7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7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7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7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7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7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7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7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7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7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7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7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7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7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7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7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7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7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7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7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7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7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7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7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7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7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7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7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7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7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7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7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7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7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7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7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7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7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7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7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7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7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7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7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7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7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7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7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7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7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7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7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7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7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8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8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8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8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8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8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8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8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8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8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8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8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8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8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8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8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8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8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8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8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8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8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8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8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8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8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8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8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8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8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8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8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8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8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8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8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8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8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8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8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8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8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8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8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8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8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8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8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8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8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8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8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8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8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8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8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8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8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8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8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8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8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8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8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9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9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9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9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9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9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9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9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9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9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9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9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9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9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9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9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9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9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9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9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9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9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9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9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9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9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9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9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9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9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9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9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9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9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9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9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9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9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9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9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9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9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9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9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9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9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9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9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9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9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9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9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9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9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9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9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9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9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9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9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9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9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9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9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10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10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10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10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10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10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10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10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10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10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10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10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10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10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10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10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10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10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10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10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10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10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10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10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10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10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10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10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10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10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10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10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10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10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10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10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10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10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10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10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10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10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10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10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10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10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10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10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10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10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10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10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10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10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10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10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10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10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10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10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10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10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10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10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11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11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11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11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11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11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11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11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11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11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11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11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11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11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11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11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11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11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11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11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11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11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11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11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11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11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11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11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11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11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11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11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11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11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11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11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11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11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11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11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11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11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11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11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11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11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11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11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11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11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11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11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11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11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11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11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11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11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11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11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11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11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11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11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2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2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2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2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2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2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2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2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2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2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2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2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2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2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2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2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2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2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2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2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2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2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2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2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2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2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2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2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2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2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2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2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2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2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2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2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2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2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2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2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2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2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2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2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2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2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2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2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2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2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2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2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2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2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2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2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2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2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2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2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2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2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2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2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3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3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3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3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3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3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3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3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3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3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3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3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3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3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3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3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3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3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3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3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3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3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3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3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3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3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3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3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3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3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3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3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3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3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3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3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3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3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3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3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3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3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3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3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3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3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3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3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3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3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3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3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3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3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3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3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3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3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3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3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3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3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3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3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4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4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4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4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4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4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4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4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4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4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4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4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4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4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4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4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4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4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4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4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4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4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4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4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4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4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4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4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4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4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4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4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4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4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4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4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4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4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4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4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4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4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4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4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4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4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4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4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4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4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4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4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4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4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4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4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4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4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4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4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4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4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4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4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5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5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5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5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5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5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5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5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5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5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5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5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5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5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5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5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5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5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5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5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5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5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5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5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5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5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5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5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5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5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5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5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5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5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5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5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5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5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5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5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5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5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5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5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5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5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5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5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5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5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5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5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5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5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5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5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5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5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5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5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5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5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5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5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6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6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6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6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6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6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6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6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6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6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6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6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6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6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6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6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6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6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6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6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6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6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6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6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6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6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6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6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6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6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6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6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6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6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6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6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6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6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6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6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6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6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6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6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6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6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6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6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6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6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6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6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6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6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6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6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6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6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6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6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6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6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6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6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7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7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7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7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7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7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7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7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7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7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7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7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7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7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7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7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7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7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7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7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7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7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7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7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7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7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7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7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7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7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7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7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7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7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7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7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7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7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7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7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7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7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7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7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7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7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7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7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7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7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7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7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7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7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7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7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7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7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7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7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7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7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7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7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8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8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8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8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8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8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8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8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8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8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8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8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8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8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8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8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8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8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8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8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8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8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8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8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8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8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8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8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8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8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8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8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8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8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8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8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8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8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8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8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8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2000</v>
      </c>
      <c r="B1">
        <f>Hoja1!B16*Hoja1!C16</f>
        <v>2000</v>
      </c>
      <c r="C1">
        <f>Hoja1!B16*Hoja1!D16</f>
        <v>800</v>
      </c>
      <c r="D1">
        <f>Hoja1!B16*Hoja1!D16</f>
        <v>800</v>
      </c>
    </row>
    <row r="2" spans="1:4" x14ac:dyDescent="0.2">
      <c r="A2">
        <f>Hoja1!B17*Hoja1!C17</f>
        <v>4820</v>
      </c>
      <c r="B2">
        <f>Hoja1!B17*Hoja1!C17</f>
        <v>4820</v>
      </c>
      <c r="C2">
        <f>Hoja1!B17*Hoja1!D17</f>
        <v>1600</v>
      </c>
      <c r="D2">
        <f>Hoja1!B17*Hoja1!D17</f>
        <v>1600</v>
      </c>
    </row>
    <row r="3" spans="1:4" x14ac:dyDescent="0.2">
      <c r="A3">
        <f>Hoja1!B18*Hoja1!C18</f>
        <v>3728</v>
      </c>
      <c r="B3">
        <f>Hoja1!B18*Hoja1!C18</f>
        <v>3728</v>
      </c>
      <c r="C3">
        <f>Hoja1!B18*Hoja1!D18</f>
        <v>800</v>
      </c>
      <c r="D3">
        <f>Hoja1!B18*Hoja1!D18</f>
        <v>800</v>
      </c>
    </row>
    <row r="4" spans="1:4" x14ac:dyDescent="0.2">
      <c r="A4">
        <f>Hoja1!B19*Hoja1!C19</f>
        <v>1856</v>
      </c>
      <c r="B4">
        <f>Hoja1!B19*Hoja1!C19</f>
        <v>1856</v>
      </c>
      <c r="C4">
        <f>Hoja1!B19*Hoja1!D19</f>
        <v>1600</v>
      </c>
      <c r="D4">
        <f>Hoja1!B19*Hoja1!D19</f>
        <v>1600</v>
      </c>
    </row>
    <row r="5" spans="1:4" x14ac:dyDescent="0.2">
      <c r="A5">
        <f>Hoja1!B20*Hoja1!C20</f>
        <v>1388</v>
      </c>
      <c r="B5">
        <f>Hoja1!B20*Hoja1!C20</f>
        <v>1388</v>
      </c>
      <c r="C5">
        <f>Hoja1!B20*Hoja1!D20</f>
        <v>800</v>
      </c>
      <c r="D5">
        <f>Hoja1!B20*Hoja1!D20</f>
        <v>800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2025-08-22T14:12:09Z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