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eluquero\"/>
    </mc:Choice>
  </mc:AlternateContent>
  <xr:revisionPtr revIDLastSave="0" documentId="13_ncr:1_{7D3F4C68-6BA1-4D9E-BF28-ABA26CBBCEB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<sst xmlns="http://schemas.openxmlformats.org/spreadsheetml/2006/main" count="43" uniqueCount="31">
  <si>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</si>
  <si>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</si>
  <si>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</si>
  <si>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</si>
  <si>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</si>
  <si>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</si>
  <si>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</si>
  <si>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</si>
  <si>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</si>
  <si>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</si>
  <si>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</si>
  <si>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</si>
  <si>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</si>
  <si>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</si>
  <si>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</si>
  <si>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</si>
  <si>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</si>
  <si>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</si>
  <si>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</si>
  <si>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</si>
  <si>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</si>
  <si>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</si>
  <si>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</si>
  <si>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</si>
  <si>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</si>
  <si>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</si>
  <si>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</si>
  <si>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040 NEGRO</t>
  </si>
  <si>
    <t xml:space="preserve">fondo </t>
  </si>
  <si>
    <t>puerta</t>
  </si>
  <si>
    <t>esqui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</si>
</sst>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D30" sqref="D3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7.03</v>
      </c>
      <c r="F3" s="47">
        <v>9119872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>
        <v>12129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>
        <v>9134116</v>
      </c>
      <c r="G5" s="48"/>
      <c r="H5" s="48"/>
      <c r="I5" s="48"/>
      <c r="J5" s="48"/>
      <c r="K5" s="48"/>
      <c r="L5" s="7">
        <f>IF(F5="",0,3)</f>
        <v>3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7.3815000000000008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1</v>
      </c>
      <c r="C16" s="23">
        <v>2515</v>
      </c>
      <c r="D16" s="24">
        <v>1000</v>
      </c>
      <c r="E16" s="25" t="s">
        <v>28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6" s="33">
        <f t="shared" ref="O16:O79" si="0">(IF(G16&gt;0,C16,0)+IF(H16&gt;0,C16,0)+IF(I16&gt;0,D16,0)+IF(J16&gt;0,D16,0))*B16/1000</f>
        <v>7.03</v>
      </c>
      <c r="Q16">
        <v>1</v>
      </c>
      <c r="R16" s="34">
        <f>((SUMIF(G16:G1016,D3,Hoja3!A1:A1001)+SUMIF(H16:H1016,D3,Hoja3!B1:B1001)+SUMIF(I16:I1016,D3,Hoja3!C1:C1001)+SUMIF(J16:J1016,D3,Hoja3!D1:D1001))/1000)*1.05</f>
        <v>7.3815000000000008</v>
      </c>
      <c r="S16" s="35" t="str">
        <f t="shared" ref="S16:S23" si="1">A3</f>
        <v>040 NEGRO</v>
      </c>
    </row>
    <row r="17" spans="1:19" ht="15.75" x14ac:dyDescent="0.25">
      <c r="A17" s="21">
        <v>9134116</v>
      </c>
      <c r="B17" s="22">
        <v>6</v>
      </c>
      <c r="C17" s="23">
        <v>2480</v>
      </c>
      <c r="D17" s="24">
        <v>50</v>
      </c>
      <c r="E17" s="25" t="s">
        <v>29</v>
      </c>
      <c r="F17" s="25"/>
      <c r="G17" s="36"/>
      <c r="H17" s="36"/>
      <c r="I17" s="36"/>
      <c r="J17" s="36"/>
      <c r="K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9134116</v>
      </c>
      <c r="B18" s="22">
        <v>10</v>
      </c>
      <c r="C18" s="23">
        <v>2230</v>
      </c>
      <c r="D18" s="24">
        <v>50</v>
      </c>
      <c r="E18" s="25" t="s">
        <v>30</v>
      </c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7</v>
      </c>
      <c r="C19" s="23">
        <v>2470</v>
      </c>
      <c r="D19" s="24">
        <v>50</v>
      </c>
      <c r="E19" s="25" t="s">
        <v>30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12129</v>
      </c>
      <c r="B20" s="22">
        <v>1</v>
      </c>
      <c r="C20" s="23">
        <v>2480</v>
      </c>
      <c r="D20" s="24">
        <v>430</v>
      </c>
      <c r="E20" s="25" t="s">
        <v>29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12129</v>
      </c>
      <c r="B21" s="22">
        <v>1</v>
      </c>
      <c r="C21" s="23">
        <v>2230</v>
      </c>
      <c r="D21" s="24">
        <v>720</v>
      </c>
      <c r="E21" s="25" t="s">
        <v>30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12129</v>
      </c>
      <c r="B22" s="22">
        <v>1</v>
      </c>
      <c r="C22" s="23">
        <v>2470</v>
      </c>
      <c r="D22" s="24">
        <v>500</v>
      </c>
      <c r="E22" s="25" t="s">
        <v>30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7.3815000000000008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2515</v>
      </c>
      <c r="B1">
        <f>Hoja1!B16*Hoja1!C16</f>
        <v>2515</v>
      </c>
      <c r="C1">
        <f>Hoja1!B16*Hoja1!D16</f>
        <v>1000</v>
      </c>
      <c r="D1">
        <f>Hoja1!B16*Hoja1!D16</f>
        <v>1000</v>
      </c>
    </row>
    <row r="2" spans="1:4" x14ac:dyDescent="0.2">
      <c r="A2">
        <f>Hoja1!B17*Hoja1!C17</f>
        <v>14880</v>
      </c>
      <c r="B2">
        <f>Hoja1!B17*Hoja1!C17</f>
        <v>14880</v>
      </c>
      <c r="C2">
        <f>Hoja1!B17*Hoja1!D17</f>
        <v>300</v>
      </c>
      <c r="D2">
        <f>Hoja1!B17*Hoja1!D17</f>
        <v>300</v>
      </c>
    </row>
    <row r="3" spans="1:4" x14ac:dyDescent="0.2">
      <c r="A3">
        <f>Hoja1!B18*Hoja1!C18</f>
        <v>22300</v>
      </c>
      <c r="B3">
        <f>Hoja1!B18*Hoja1!C18</f>
        <v>22300</v>
      </c>
      <c r="C3">
        <f>Hoja1!B18*Hoja1!D18</f>
        <v>500</v>
      </c>
      <c r="D3">
        <f>Hoja1!B18*Hoja1!D18</f>
        <v>500</v>
      </c>
    </row>
    <row r="4" spans="1:4" x14ac:dyDescent="0.2">
      <c r="A4">
        <f>Hoja1!B19*Hoja1!C19</f>
        <v>17290</v>
      </c>
      <c r="B4">
        <f>Hoja1!B19*Hoja1!C19</f>
        <v>17290</v>
      </c>
      <c r="C4">
        <f>Hoja1!B19*Hoja1!D19</f>
        <v>350</v>
      </c>
      <c r="D4">
        <f>Hoja1!B19*Hoja1!D19</f>
        <v>350</v>
      </c>
    </row>
    <row r="5" spans="1:4" x14ac:dyDescent="0.2">
      <c r="A5">
        <f>Hoja1!B20*Hoja1!C20</f>
        <v>2480</v>
      </c>
      <c r="B5">
        <f>Hoja1!B20*Hoja1!C20</f>
        <v>2480</v>
      </c>
      <c r="C5">
        <f>Hoja1!B20*Hoja1!D20</f>
        <v>430</v>
      </c>
      <c r="D5">
        <f>Hoja1!B20*Hoja1!D20</f>
        <v>430</v>
      </c>
    </row>
    <row r="6" spans="1:4" x14ac:dyDescent="0.2">
      <c r="A6">
        <f>Hoja1!B21*Hoja1!C21</f>
        <v>2230</v>
      </c>
      <c r="B6">
        <f>Hoja1!B21*Hoja1!C21</f>
        <v>2230</v>
      </c>
      <c r="C6">
        <f>Hoja1!B21*Hoja1!D21</f>
        <v>720</v>
      </c>
      <c r="D6">
        <f>Hoja1!B21*Hoja1!D21</f>
        <v>720</v>
      </c>
    </row>
    <row r="7" spans="1:4" x14ac:dyDescent="0.2">
      <c r="A7">
        <f>Hoja1!B22*Hoja1!C22</f>
        <v>2470</v>
      </c>
      <c r="B7">
        <f>Hoja1!B22*Hoja1!C22</f>
        <v>2470</v>
      </c>
      <c r="C7">
        <f>Hoja1!B22*Hoja1!D22</f>
        <v>500</v>
      </c>
      <c r="D7">
        <f>Hoja1!B22*Hoja1!D22</f>
        <v>500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2025-02-12T12:57:47Z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