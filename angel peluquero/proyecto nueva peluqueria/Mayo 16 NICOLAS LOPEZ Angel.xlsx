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angel peluquero\proyecto nueva peluqueria\"/>
    </mc:Choice>
  </mc:AlternateContent>
  <xr:revisionPtr revIDLastSave="0" documentId="13_ncr:1_{55986507-419E-43D4-BCA1-868B3CC2469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<sst xmlns="http://schemas.openxmlformats.org/spreadsheetml/2006/main" count="48" uniqueCount="36">
  <si>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</si>
  <si>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</si>
  <si>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</si>
  <si>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</si>
  <si>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</si>
  <si>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</si>
  <si>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</si>
  <si>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</si>
  <si>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</si>
  <si>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</si>
  <si>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</si>
  <si>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</si>
  <si>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</si>
  <si>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</si>
  <si>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</si>
  <si>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</si>
  <si>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</si>
  <si>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</si>
  <si>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</si>
  <si>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</si>
  <si>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</si>
  <si>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</si>
  <si>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</si>
  <si>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</si>
  <si>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</si>
  <si>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</si>
  <si>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</si>
  <si>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tapa cajon</t>
  </si>
  <si>
    <t>040 negro</t>
  </si>
  <si>
    <t>base final</t>
  </si>
  <si>
    <t>lat princ</t>
  </si>
  <si>
    <t>base princ</t>
  </si>
  <si>
    <t>lat cajon 1</t>
  </si>
  <si>
    <t xml:space="preserve">lat cajon 2 </t>
  </si>
  <si>
    <t>lat cajon 3</t>
  </si>
  <si>
    <t>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</si>
</sst>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A31" sqref="A31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561.10799999999995</v>
      </c>
      <c r="F3" s="47">
        <v>9119872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67.000500000000002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3</v>
      </c>
      <c r="C16" s="23">
        <v>450</v>
      </c>
      <c r="D16" s="24">
        <v>450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6" s="33">
        <f t="shared" ref="O16:O79" si="0">(IF(G16&gt;0,C16,0)+IF(H16&gt;0,C16,0)+IF(I16&gt;0,D16,0)+IF(J16&gt;0,D16,0))*B16/1000</f>
        <v>5.4</v>
      </c>
      <c r="Q16">
        <v>1</v>
      </c>
      <c r="R16" s="34">
        <f>((SUMIF(G16:G1016,D3,Hoja3!A1:A1001)+SUMIF(H16:H1016,D3,Hoja3!B1:B1001)+SUMIF(I16:I1016,D3,Hoja3!C1:C1001)+SUMIF(J16:J1016,D3,Hoja3!D1:D1001))/1000)*1.05</f>
        <v>67.000500000000002</v>
      </c>
      <c r="S16" s="35" t="str">
        <f t="shared" ref="S16:S23" si="1">A3</f>
        <v>040 negro</v>
      </c>
    </row>
    <row r="17" spans="1:19" ht="15.75" x14ac:dyDescent="0.25">
      <c r="A17" s="21">
        <v>9119872</v>
      </c>
      <c r="B17" s="22">
        <v>6</v>
      </c>
      <c r="C17" s="23">
        <v>450</v>
      </c>
      <c r="D17" s="24">
        <v>432</v>
      </c>
      <c r="E17" s="25" t="s">
        <v>31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7" s="33">
        <f t="shared" si="0"/>
        <v>10.584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6</v>
      </c>
      <c r="C18" s="23">
        <v>776</v>
      </c>
      <c r="D18" s="24">
        <v>432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9.3119999999999994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6</v>
      </c>
      <c r="C19" s="23">
        <v>220</v>
      </c>
      <c r="D19" s="24">
        <v>446</v>
      </c>
      <c r="E19" s="25" t="s">
        <v>27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19" s="33">
        <f t="shared" si="0"/>
        <v>7.992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3</v>
      </c>
      <c r="C20" s="23">
        <v>356</v>
      </c>
      <c r="D20" s="24">
        <v>446</v>
      </c>
      <c r="E20" s="25" t="s">
        <v>27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0" s="33">
        <f t="shared" si="0"/>
        <v>4.8120000000000003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6</v>
      </c>
      <c r="C21" s="23">
        <v>387</v>
      </c>
      <c r="D21" s="24">
        <v>170</v>
      </c>
      <c r="E21" s="25" t="s">
        <v>32</v>
      </c>
      <c r="F21" s="25"/>
      <c r="G21" s="37">
        <v>1</v>
      </c>
      <c r="H21" s="37"/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1" s="33">
        <f t="shared" si="0"/>
        <v>4.3620000000000001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6</v>
      </c>
      <c r="C22" s="23">
        <v>264</v>
      </c>
      <c r="D22" s="24">
        <v>170</v>
      </c>
      <c r="E22" s="25" t="s">
        <v>32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3.1680000000000001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6</v>
      </c>
      <c r="C23" s="23">
        <v>387</v>
      </c>
      <c r="D23" s="24">
        <v>170</v>
      </c>
      <c r="E23" s="25" t="s">
        <v>33</v>
      </c>
      <c r="F23" s="25"/>
      <c r="G23" s="37">
        <v>1</v>
      </c>
      <c r="H23" s="37"/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3" s="33">
        <f t="shared" si="0"/>
        <v>4.3620000000000001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6</v>
      </c>
      <c r="C24" s="23">
        <v>314</v>
      </c>
      <c r="D24" s="24">
        <v>170</v>
      </c>
      <c r="E24" s="25" t="s">
        <v>33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3.7679999999999998</v>
      </c>
      <c r="R24" s="38">
        <f>SUM(R16:R23)</f>
        <v>67.000500000000002</v>
      </c>
      <c r="S24" s="39" t="s">
        <v>26</v>
      </c>
    </row>
    <row r="25" spans="1:19" x14ac:dyDescent="0.2">
      <c r="A25" s="21">
        <v>9119872</v>
      </c>
      <c r="B25" s="22">
        <v>6</v>
      </c>
      <c r="C25" s="23">
        <v>387</v>
      </c>
      <c r="D25" s="24">
        <v>280</v>
      </c>
      <c r="E25" s="25" t="s">
        <v>34</v>
      </c>
      <c r="F25" s="25"/>
      <c r="G25" s="37">
        <v>1</v>
      </c>
      <c r="H25" s="37"/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negro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negro</v>
      </c>
      <c r="O25" s="33">
        <f t="shared" si="0"/>
        <v>5.6820000000000004</v>
      </c>
    </row>
    <row r="26" spans="1:19" x14ac:dyDescent="0.2">
      <c r="A26" s="21">
        <v>9119872</v>
      </c>
      <c r="B26" s="22">
        <v>6</v>
      </c>
      <c r="C26" s="23">
        <v>364</v>
      </c>
      <c r="D26" s="24">
        <v>280</v>
      </c>
      <c r="E26" s="25" t="s">
        <v>34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negro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negro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4.3680000000000003</v>
      </c>
    </row>
    <row r="27" spans="1:19" x14ac:dyDescent="0.2">
      <c r="A27" s="21">
        <v>9119872</v>
      </c>
      <c r="B27" s="22">
        <v>3</v>
      </c>
      <c r="C27" s="23">
        <v>414</v>
      </c>
      <c r="D27" s="24">
        <v>776</v>
      </c>
      <c r="E27" s="25" t="s">
        <v>35</v>
      </c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1350</v>
      </c>
      <c r="B1">
        <f>Hoja1!B16*Hoja1!C16</f>
        <v>1350</v>
      </c>
      <c r="C1">
        <f>Hoja1!B16*Hoja1!D16</f>
        <v>1350</v>
      </c>
      <c r="D1">
        <f>Hoja1!B16*Hoja1!D16</f>
        <v>1350</v>
      </c>
    </row>
    <row r="2" spans="1:4" x14ac:dyDescent="0.2">
      <c r="A2">
        <f>Hoja1!B17*Hoja1!C17</f>
        <v>2700</v>
      </c>
      <c r="B2">
        <f>Hoja1!B17*Hoja1!C17</f>
        <v>2700</v>
      </c>
      <c r="C2">
        <f>Hoja1!B17*Hoja1!D17</f>
        <v>2592</v>
      </c>
      <c r="D2">
        <f>Hoja1!B17*Hoja1!D17</f>
        <v>2592</v>
      </c>
    </row>
    <row r="3" spans="1:4" x14ac:dyDescent="0.2">
      <c r="A3">
        <f>Hoja1!B18*Hoja1!C18</f>
        <v>4656</v>
      </c>
      <c r="B3">
        <f>Hoja1!B18*Hoja1!C18</f>
        <v>4656</v>
      </c>
      <c r="C3">
        <f>Hoja1!B18*Hoja1!D18</f>
        <v>2592</v>
      </c>
      <c r="D3">
        <f>Hoja1!B18*Hoja1!D18</f>
        <v>2592</v>
      </c>
    </row>
    <row r="4" spans="1:4" x14ac:dyDescent="0.2">
      <c r="A4">
        <f>Hoja1!B19*Hoja1!C19</f>
        <v>1320</v>
      </c>
      <c r="B4">
        <f>Hoja1!B19*Hoja1!C19</f>
        <v>1320</v>
      </c>
      <c r="C4">
        <f>Hoja1!B19*Hoja1!D19</f>
        <v>2676</v>
      </c>
      <c r="D4">
        <f>Hoja1!B19*Hoja1!D19</f>
        <v>2676</v>
      </c>
    </row>
    <row r="5" spans="1:4" x14ac:dyDescent="0.2">
      <c r="A5">
        <f>Hoja1!B20*Hoja1!C20</f>
        <v>1068</v>
      </c>
      <c r="B5">
        <f>Hoja1!B20*Hoja1!C20</f>
        <v>1068</v>
      </c>
      <c r="C5">
        <f>Hoja1!B20*Hoja1!D20</f>
        <v>1338</v>
      </c>
      <c r="D5">
        <f>Hoja1!B20*Hoja1!D20</f>
        <v>1338</v>
      </c>
    </row>
    <row r="6" spans="1:4" x14ac:dyDescent="0.2">
      <c r="A6">
        <f>Hoja1!B21*Hoja1!C21</f>
        <v>2322</v>
      </c>
      <c r="B6">
        <f>Hoja1!B21*Hoja1!C21</f>
        <v>2322</v>
      </c>
      <c r="C6">
        <f>Hoja1!B21*Hoja1!D21</f>
        <v>1020</v>
      </c>
      <c r="D6">
        <f>Hoja1!B21*Hoja1!D21</f>
        <v>1020</v>
      </c>
    </row>
    <row r="7" spans="1:4" x14ac:dyDescent="0.2">
      <c r="A7">
        <f>Hoja1!B22*Hoja1!C22</f>
        <v>1584</v>
      </c>
      <c r="B7">
        <f>Hoja1!B22*Hoja1!C22</f>
        <v>1584</v>
      </c>
      <c r="C7">
        <f>Hoja1!B22*Hoja1!D22</f>
        <v>1020</v>
      </c>
      <c r="D7">
        <f>Hoja1!B22*Hoja1!D22</f>
        <v>1020</v>
      </c>
    </row>
    <row r="8" spans="1:4" x14ac:dyDescent="0.2">
      <c r="A8">
        <f>Hoja1!B23*Hoja1!C23</f>
        <v>2322</v>
      </c>
      <c r="B8">
        <f>Hoja1!B23*Hoja1!C23</f>
        <v>2322</v>
      </c>
      <c r="C8">
        <f>Hoja1!B23*Hoja1!D23</f>
        <v>1020</v>
      </c>
      <c r="D8">
        <f>Hoja1!B23*Hoja1!D23</f>
        <v>1020</v>
      </c>
    </row>
    <row r="9" spans="1:4" x14ac:dyDescent="0.2">
      <c r="A9">
        <f>Hoja1!B24*Hoja1!C24</f>
        <v>1884</v>
      </c>
      <c r="B9">
        <f>Hoja1!B24*Hoja1!C24</f>
        <v>1884</v>
      </c>
      <c r="C9">
        <f>Hoja1!B24*Hoja1!D24</f>
        <v>1020</v>
      </c>
      <c r="D9">
        <f>Hoja1!B24*Hoja1!D24</f>
        <v>1020</v>
      </c>
    </row>
    <row r="10" spans="1:4" x14ac:dyDescent="0.2">
      <c r="A10">
        <f>Hoja1!B25*Hoja1!C25</f>
        <v>2322</v>
      </c>
      <c r="B10">
        <f>Hoja1!B25*Hoja1!C25</f>
        <v>2322</v>
      </c>
      <c r="C10">
        <f>Hoja1!B25*Hoja1!D25</f>
        <v>1680</v>
      </c>
      <c r="D10">
        <f>Hoja1!B25*Hoja1!D25</f>
        <v>1680</v>
      </c>
    </row>
    <row r="11" spans="1:4" x14ac:dyDescent="0.2">
      <c r="A11">
        <f>Hoja1!B26*Hoja1!C26</f>
        <v>2184</v>
      </c>
      <c r="B11">
        <f>Hoja1!B26*Hoja1!C26</f>
        <v>2184</v>
      </c>
      <c r="C11">
        <f>Hoja1!B26*Hoja1!D26</f>
        <v>1680</v>
      </c>
      <c r="D11">
        <f>Hoja1!B26*Hoja1!D26</f>
        <v>1680</v>
      </c>
    </row>
    <row r="12" spans="1:4" x14ac:dyDescent="0.2">
      <c r="A12">
        <f>Hoja1!B27*Hoja1!C27</f>
        <v>1242</v>
      </c>
      <c r="B12">
        <f>Hoja1!B27*Hoja1!C27</f>
        <v>1242</v>
      </c>
      <c r="C12">
        <f>Hoja1!B27*Hoja1!D27</f>
        <v>2328</v>
      </c>
      <c r="D12">
        <f>Hoja1!B27*Hoja1!D27</f>
        <v>2328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2025-05-20T13:39:20Z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