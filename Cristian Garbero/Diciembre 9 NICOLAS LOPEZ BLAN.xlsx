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Cristian Garbero\"/>
    </mc:Choice>
  </mc:AlternateContent>
  <xr:revisionPtr revIDLastSave="0" documentId="13_ncr:1_{B1319BC7-7798-4D7D-BB6E-1FEE99A5DDB1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<sst xmlns="http://schemas.openxmlformats.org/spreadsheetml/2006/main" count="112" uniqueCount="52">
  <si>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</si>
  <si>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</si>
  <si>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</si>
  <si>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</si>
  <si>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</si>
  <si>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</si>
  <si>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</si>
  <si>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</si>
  <si>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</si>
  <si>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</si>
  <si>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</si>
  <si>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</si>
  <si>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</si>
  <si>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</si>
  <si>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</si>
  <si>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</si>
  <si>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</si>
  <si>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</si>
  <si>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</si>
  <si>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</si>
  <si>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</si>
  <si>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</si>
  <si>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</si>
  <si>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</si>
  <si>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</si>
  <si>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</si>
  <si>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</si>
  <si>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</si>
  <si>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</si>
  <si>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campana</t>
  </si>
  <si>
    <t>lat campana</t>
  </si>
  <si>
    <t>base alacena</t>
  </si>
  <si>
    <t>lat alacena</t>
  </si>
  <si>
    <t>puerta campa</t>
  </si>
  <si>
    <t>puerta alace</t>
  </si>
  <si>
    <t>puerta bajo m</t>
  </si>
  <si>
    <t>tapa cajon</t>
  </si>
  <si>
    <t>int cajon</t>
  </si>
  <si>
    <t>base alace 2</t>
  </si>
  <si>
    <t>lat alace 2</t>
  </si>
  <si>
    <t>base micro</t>
  </si>
  <si>
    <t>lat micro</t>
  </si>
  <si>
    <t>puerta ala 2</t>
  </si>
  <si>
    <t>estante ala 2</t>
  </si>
  <si>
    <t>puestas baño</t>
  </si>
  <si>
    <t>base cajonero</t>
  </si>
  <si>
    <t>base  bajo me</t>
  </si>
  <si>
    <t>lat bajo me</t>
  </si>
  <si>
    <t>estante bajo me</t>
  </si>
  <si>
    <t>soporte</t>
  </si>
  <si>
    <t>base bajo me</t>
  </si>
  <si>
    <t>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</si>
</sst>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38" zoomScale="130" zoomScaleNormal="130" workbookViewId="0">
      <selection activeCell="B45" sqref="B45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28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2720.7919999999999</v>
      </c>
      <c r="F3" s="47">
        <v>9117152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8"/>
      <c r="G4" s="48"/>
      <c r="H4" s="48"/>
      <c r="I4" s="48"/>
      <c r="J4" s="48"/>
      <c r="K4" s="48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8"/>
      <c r="G5" s="48"/>
      <c r="H5" s="48"/>
      <c r="I5" s="48"/>
      <c r="J5" s="48"/>
      <c r="K5" s="48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8"/>
      <c r="G6" s="48"/>
      <c r="H6" s="48"/>
      <c r="I6" s="48"/>
      <c r="J6" s="48"/>
      <c r="K6" s="48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8"/>
      <c r="G7" s="48"/>
      <c r="H7" s="48"/>
      <c r="I7" s="48"/>
      <c r="J7" s="48"/>
      <c r="K7" s="48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8"/>
      <c r="G8" s="48"/>
      <c r="H8" s="48"/>
      <c r="I8" s="48"/>
      <c r="J8" s="48"/>
      <c r="K8" s="48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8"/>
      <c r="G9" s="48"/>
      <c r="H9" s="48"/>
      <c r="I9" s="48"/>
      <c r="J9" s="48"/>
      <c r="K9" s="48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8"/>
      <c r="G10" s="48"/>
      <c r="H10" s="48"/>
      <c r="I10" s="48"/>
      <c r="J10" s="48"/>
      <c r="K10" s="48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9" t="s">
        <v>6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50" t="s">
        <v>8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12"/>
      <c r="N13" s="11"/>
    </row>
    <row r="14" spans="1:20" ht="15" x14ac:dyDescent="0.25">
      <c r="A14" s="51" t="s">
        <v>9</v>
      </c>
      <c r="B14" s="51" t="s">
        <v>10</v>
      </c>
      <c r="C14" s="51" t="s">
        <v>11</v>
      </c>
      <c r="D14" s="51" t="s">
        <v>12</v>
      </c>
      <c r="E14" s="51" t="s">
        <v>13</v>
      </c>
      <c r="F14" s="51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1"/>
      <c r="B15" s="51"/>
      <c r="C15" s="51"/>
      <c r="D15" s="51"/>
      <c r="E15" s="51"/>
      <c r="F15" s="51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90.879600000000025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2</v>
      </c>
      <c r="C16" s="23">
        <v>662</v>
      </c>
      <c r="D16" s="24">
        <v>300</v>
      </c>
      <c r="E16" s="25" t="s">
        <v>29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1.3240000000000001</v>
      </c>
      <c r="Q16">
        <v>1</v>
      </c>
      <c r="R16" s="34">
        <f>((SUMIF(G16:G1016,D3,Hoja3!A1:A1001)+SUMIF(H16:H1016,D3,Hoja3!B1:B1001)+SUMIF(I16:I1016,D3,Hoja3!C1:C1001)+SUMIF(J16:J1016,D3,Hoja3!D1:D1001))/1000)*1.05</f>
        <v>90.879600000000011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636</v>
      </c>
      <c r="D17" s="24">
        <v>300</v>
      </c>
      <c r="E17" s="25" t="s">
        <v>30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1.272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4</v>
      </c>
      <c r="C18" s="23">
        <v>767</v>
      </c>
      <c r="D18" s="24">
        <v>300</v>
      </c>
      <c r="E18" s="25" t="s">
        <v>31</v>
      </c>
      <c r="F18" s="25"/>
      <c r="G18" s="36">
        <v>1</v>
      </c>
      <c r="H18" s="36"/>
      <c r="I18" s="36">
        <v>1</v>
      </c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4.2679999999999998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4</v>
      </c>
      <c r="C19" s="23">
        <v>433</v>
      </c>
      <c r="D19" s="24">
        <v>300</v>
      </c>
      <c r="E19" s="25" t="s">
        <v>31</v>
      </c>
      <c r="F19" s="25"/>
      <c r="G19" s="36">
        <v>1</v>
      </c>
      <c r="H19" s="36"/>
      <c r="I19" s="36">
        <v>1</v>
      </c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2.9319999999999999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8</v>
      </c>
      <c r="C20" s="23">
        <v>427</v>
      </c>
      <c r="D20" s="24">
        <v>300</v>
      </c>
      <c r="E20" s="25" t="s">
        <v>32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3.4159999999999999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677</v>
      </c>
      <c r="D21" s="24">
        <v>327</v>
      </c>
      <c r="E21" s="25" t="s">
        <v>33</v>
      </c>
      <c r="F21" s="25"/>
      <c r="G21" s="37">
        <v>1</v>
      </c>
      <c r="H21" s="37">
        <v>1</v>
      </c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1" s="33">
        <f t="shared" si="0"/>
        <v>4.016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2</v>
      </c>
      <c r="C22" s="23">
        <v>939</v>
      </c>
      <c r="D22" s="24">
        <v>380</v>
      </c>
      <c r="E22" s="25" t="s">
        <v>34</v>
      </c>
      <c r="F22" s="25"/>
      <c r="G22" s="36">
        <v>1</v>
      </c>
      <c r="H22" s="36">
        <v>1</v>
      </c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2" s="33">
        <f t="shared" si="0"/>
        <v>5.2759999999999998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1</v>
      </c>
      <c r="C23" s="23">
        <v>939</v>
      </c>
      <c r="D23" s="24">
        <v>429</v>
      </c>
      <c r="E23" s="25" t="s">
        <v>34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3" s="33">
        <f t="shared" si="0"/>
        <v>2.7360000000000002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1</v>
      </c>
      <c r="C24" s="23">
        <v>740</v>
      </c>
      <c r="D24" s="24">
        <v>380</v>
      </c>
      <c r="E24" s="25" t="s">
        <v>35</v>
      </c>
      <c r="F24" s="25"/>
      <c r="G24" s="37">
        <v>1</v>
      </c>
      <c r="H24" s="37">
        <v>1</v>
      </c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2.2400000000000002</v>
      </c>
      <c r="R24" s="38">
        <f>SUM(R16:R23)</f>
        <v>90.879600000000011</v>
      </c>
      <c r="S24" s="39" t="s">
        <v>27</v>
      </c>
    </row>
    <row r="25" spans="1:19" x14ac:dyDescent="0.2">
      <c r="A25" s="21" t="s">
        <v>26</v>
      </c>
      <c r="B25" s="22">
        <v>1</v>
      </c>
      <c r="C25" s="23">
        <v>740</v>
      </c>
      <c r="D25" s="24">
        <v>375</v>
      </c>
      <c r="E25" s="25" t="s">
        <v>35</v>
      </c>
      <c r="F25" s="25"/>
      <c r="G25" s="37">
        <v>1</v>
      </c>
      <c r="H25" s="37">
        <v>1</v>
      </c>
      <c r="I25" s="37">
        <v>1</v>
      </c>
      <c r="J25" s="37">
        <v>1</v>
      </c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5" s="33">
        <f t="shared" si="0"/>
        <v>2.23</v>
      </c>
    </row>
    <row r="26" spans="1:19" x14ac:dyDescent="0.2">
      <c r="A26" s="21" t="s">
        <v>26</v>
      </c>
      <c r="B26" s="22">
        <v>1</v>
      </c>
      <c r="C26" s="23">
        <v>429</v>
      </c>
      <c r="D26" s="24">
        <v>256</v>
      </c>
      <c r="E26" s="25" t="s">
        <v>36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1.37</v>
      </c>
    </row>
    <row r="27" spans="1:19" x14ac:dyDescent="0.2">
      <c r="A27" s="21" t="s">
        <v>26</v>
      </c>
      <c r="B27" s="22">
        <v>2</v>
      </c>
      <c r="C27" s="23">
        <v>429</v>
      </c>
      <c r="D27" s="24">
        <v>238</v>
      </c>
      <c r="E27" s="25" t="s">
        <v>36</v>
      </c>
      <c r="F27" s="25"/>
      <c r="G27" s="37">
        <v>1</v>
      </c>
      <c r="H27" s="37">
        <v>1</v>
      </c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7" s="33">
        <f t="shared" si="0"/>
        <v>2.6680000000000001</v>
      </c>
    </row>
    <row r="28" spans="1:19" x14ac:dyDescent="0.2">
      <c r="A28" s="21" t="s">
        <v>26</v>
      </c>
      <c r="B28" s="22">
        <v>6</v>
      </c>
      <c r="C28" s="23">
        <v>381</v>
      </c>
      <c r="D28" s="24">
        <v>150</v>
      </c>
      <c r="E28" s="25" t="s">
        <v>37</v>
      </c>
      <c r="F28" s="25"/>
      <c r="G28" s="37">
        <v>1</v>
      </c>
      <c r="H28" s="37"/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8" s="33">
        <f t="shared" si="0"/>
        <v>4.0860000000000003</v>
      </c>
    </row>
    <row r="29" spans="1:19" x14ac:dyDescent="0.2">
      <c r="A29" s="21" t="s">
        <v>26</v>
      </c>
      <c r="B29" s="22">
        <v>6</v>
      </c>
      <c r="C29" s="23">
        <v>414</v>
      </c>
      <c r="D29" s="24">
        <v>150</v>
      </c>
      <c r="E29" s="25" t="s">
        <v>37</v>
      </c>
      <c r="F29" s="25"/>
      <c r="G29" s="37">
        <v>1</v>
      </c>
      <c r="H29" s="37">
        <v>1</v>
      </c>
      <c r="I29" s="37"/>
      <c r="J29" s="37"/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4.968</v>
      </c>
    </row>
    <row r="30" spans="1:19" x14ac:dyDescent="0.2">
      <c r="A30" s="21" t="s">
        <v>26</v>
      </c>
      <c r="B30" s="22">
        <v>2</v>
      </c>
      <c r="C30" s="23">
        <v>740</v>
      </c>
      <c r="D30" s="24">
        <v>314</v>
      </c>
      <c r="E30" s="25" t="s">
        <v>35</v>
      </c>
      <c r="F30" s="25"/>
      <c r="G30" s="37">
        <v>1</v>
      </c>
      <c r="H30" s="37">
        <v>1</v>
      </c>
      <c r="I30" s="37">
        <v>1</v>
      </c>
      <c r="J30" s="37">
        <v>1</v>
      </c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0" s="33">
        <f t="shared" si="0"/>
        <v>4.2160000000000002</v>
      </c>
    </row>
    <row r="31" spans="1:19" x14ac:dyDescent="0.2">
      <c r="A31" s="21" t="s">
        <v>26</v>
      </c>
      <c r="B31" s="22">
        <v>1</v>
      </c>
      <c r="C31" s="23">
        <v>740</v>
      </c>
      <c r="D31" s="24">
        <v>410</v>
      </c>
      <c r="E31" s="25" t="s">
        <v>35</v>
      </c>
      <c r="F31" s="25"/>
      <c r="G31" s="37">
        <v>1</v>
      </c>
      <c r="H31" s="37">
        <v>1</v>
      </c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2.2999999999999998</v>
      </c>
    </row>
    <row r="32" spans="1:19" x14ac:dyDescent="0.2">
      <c r="A32" s="21" t="s">
        <v>26</v>
      </c>
      <c r="B32" s="22">
        <v>2</v>
      </c>
      <c r="C32" s="23">
        <v>504</v>
      </c>
      <c r="D32" s="24">
        <v>300</v>
      </c>
      <c r="E32" s="25" t="s">
        <v>38</v>
      </c>
      <c r="F32" s="25"/>
      <c r="G32" s="37">
        <v>1</v>
      </c>
      <c r="H32" s="37"/>
      <c r="I32" s="37">
        <v>1</v>
      </c>
      <c r="J32" s="37"/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1.6080000000000001</v>
      </c>
    </row>
    <row r="33" spans="1:15" x14ac:dyDescent="0.2">
      <c r="A33" s="21" t="s">
        <v>26</v>
      </c>
      <c r="B33" s="22">
        <v>2</v>
      </c>
      <c r="C33" s="23">
        <v>889</v>
      </c>
      <c r="D33" s="24">
        <v>300</v>
      </c>
      <c r="E33" s="25" t="s">
        <v>39</v>
      </c>
      <c r="F33" s="25"/>
      <c r="G33" s="37">
        <v>1</v>
      </c>
      <c r="H33" s="37"/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1.778</v>
      </c>
    </row>
    <row r="34" spans="1:15" x14ac:dyDescent="0.2">
      <c r="A34" s="21" t="s">
        <v>26</v>
      </c>
      <c r="B34" s="22">
        <v>3</v>
      </c>
      <c r="C34" s="23">
        <v>576</v>
      </c>
      <c r="D34" s="24">
        <v>300</v>
      </c>
      <c r="E34" s="25" t="s">
        <v>38</v>
      </c>
      <c r="F34" s="25"/>
      <c r="G34" s="37">
        <v>1</v>
      </c>
      <c r="H34" s="37"/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1.728</v>
      </c>
    </row>
    <row r="35" spans="1:15" x14ac:dyDescent="0.2">
      <c r="A35" s="21" t="s">
        <v>26</v>
      </c>
      <c r="B35" s="22">
        <v>2</v>
      </c>
      <c r="C35" s="23">
        <v>671</v>
      </c>
      <c r="D35" s="24">
        <v>300</v>
      </c>
      <c r="E35" s="25" t="s">
        <v>39</v>
      </c>
      <c r="F35" s="25"/>
      <c r="G35" s="37">
        <v>1</v>
      </c>
      <c r="H35" s="37"/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1.3420000000000001</v>
      </c>
    </row>
    <row r="36" spans="1:15" x14ac:dyDescent="0.2">
      <c r="A36" s="21" t="s">
        <v>26</v>
      </c>
      <c r="B36" s="22">
        <v>1</v>
      </c>
      <c r="C36" s="23">
        <v>576</v>
      </c>
      <c r="D36" s="24">
        <v>450</v>
      </c>
      <c r="E36" s="25" t="s">
        <v>40</v>
      </c>
      <c r="F36" s="25"/>
      <c r="G36" s="37">
        <v>1</v>
      </c>
      <c r="H36" s="37"/>
      <c r="I36" s="37">
        <v>1</v>
      </c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1.026</v>
      </c>
    </row>
    <row r="37" spans="1:15" x14ac:dyDescent="0.2">
      <c r="A37" s="21" t="s">
        <v>26</v>
      </c>
      <c r="B37" s="22">
        <v>2</v>
      </c>
      <c r="C37" s="23">
        <v>388</v>
      </c>
      <c r="D37" s="24">
        <v>300</v>
      </c>
      <c r="E37" s="25" t="s">
        <v>41</v>
      </c>
      <c r="F37" s="25"/>
      <c r="G37" s="37">
        <v>1</v>
      </c>
      <c r="H37" s="37"/>
      <c r="I37" s="37"/>
      <c r="J37" s="37"/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0.77600000000000002</v>
      </c>
    </row>
    <row r="38" spans="1:15" x14ac:dyDescent="0.2">
      <c r="A38" s="21" t="s">
        <v>26</v>
      </c>
      <c r="B38" s="22">
        <v>2</v>
      </c>
      <c r="C38" s="23">
        <v>939</v>
      </c>
      <c r="D38" s="24">
        <v>248</v>
      </c>
      <c r="E38" s="25" t="s">
        <v>42</v>
      </c>
      <c r="F38" s="25"/>
      <c r="G38" s="37">
        <v>1</v>
      </c>
      <c r="H38" s="37">
        <v>1</v>
      </c>
      <c r="I38" s="37">
        <v>1</v>
      </c>
      <c r="J38" s="37">
        <v>1</v>
      </c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8" s="33">
        <f t="shared" si="0"/>
        <v>4.7480000000000002</v>
      </c>
    </row>
    <row r="39" spans="1:15" x14ac:dyDescent="0.2">
      <c r="A39" s="21" t="s">
        <v>26</v>
      </c>
      <c r="B39" s="22">
        <v>2</v>
      </c>
      <c r="C39" s="23">
        <v>741</v>
      </c>
      <c r="D39" s="24">
        <v>284</v>
      </c>
      <c r="E39" s="25" t="s">
        <v>42</v>
      </c>
      <c r="F39" s="25"/>
      <c r="G39" s="37">
        <v>1</v>
      </c>
      <c r="H39" s="37">
        <v>1</v>
      </c>
      <c r="I39" s="37">
        <v>1</v>
      </c>
      <c r="J39" s="37">
        <v>1</v>
      </c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9" s="33">
        <f t="shared" si="0"/>
        <v>4.0999999999999996</v>
      </c>
    </row>
    <row r="40" spans="1:15" x14ac:dyDescent="0.2">
      <c r="A40" s="21" t="s">
        <v>26</v>
      </c>
      <c r="B40" s="22">
        <v>1</v>
      </c>
      <c r="C40" s="23">
        <v>468</v>
      </c>
      <c r="D40" s="24">
        <v>300</v>
      </c>
      <c r="E40" s="25" t="s">
        <v>43</v>
      </c>
      <c r="F40" s="25"/>
      <c r="G40" s="37">
        <v>1</v>
      </c>
      <c r="H40" s="37"/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0.46800000000000003</v>
      </c>
    </row>
    <row r="41" spans="1:15" x14ac:dyDescent="0.2">
      <c r="A41" s="21" t="s">
        <v>26</v>
      </c>
      <c r="B41" s="22">
        <v>1</v>
      </c>
      <c r="C41" s="23">
        <v>540</v>
      </c>
      <c r="D41" s="24">
        <v>300</v>
      </c>
      <c r="E41" s="25" t="s">
        <v>43</v>
      </c>
      <c r="F41" s="25"/>
      <c r="G41" s="37">
        <v>1</v>
      </c>
      <c r="H41" s="37"/>
      <c r="I41" s="37"/>
      <c r="J41" s="37"/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0.54</v>
      </c>
    </row>
    <row r="42" spans="1:15" x14ac:dyDescent="0.2">
      <c r="A42" s="21" t="s">
        <v>26</v>
      </c>
      <c r="B42" s="22">
        <v>2</v>
      </c>
      <c r="C42" s="23">
        <v>564</v>
      </c>
      <c r="D42" s="24">
        <v>440</v>
      </c>
      <c r="E42" s="25" t="s">
        <v>44</v>
      </c>
      <c r="F42" s="25"/>
      <c r="G42" s="37">
        <v>1</v>
      </c>
      <c r="H42" s="37">
        <v>1</v>
      </c>
      <c r="I42" s="37">
        <v>1</v>
      </c>
      <c r="J42" s="37">
        <v>1</v>
      </c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2" s="33">
        <f t="shared" si="0"/>
        <v>4.016</v>
      </c>
    </row>
    <row r="43" spans="1:15" x14ac:dyDescent="0.2">
      <c r="A43" s="21" t="s">
        <v>26</v>
      </c>
      <c r="B43" s="22">
        <v>2</v>
      </c>
      <c r="C43" s="23">
        <v>434</v>
      </c>
      <c r="D43" s="24">
        <v>560</v>
      </c>
      <c r="E43" s="25" t="s">
        <v>45</v>
      </c>
      <c r="F43" s="25"/>
      <c r="G43" s="37">
        <v>1</v>
      </c>
      <c r="H43" s="37"/>
      <c r="I43" s="37">
        <v>1</v>
      </c>
      <c r="J43" s="37"/>
      <c r="K4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1.988</v>
      </c>
    </row>
    <row r="44" spans="1:15" x14ac:dyDescent="0.2">
      <c r="A44" s="21" t="s">
        <v>26</v>
      </c>
      <c r="B44" s="22">
        <v>1</v>
      </c>
      <c r="C44" s="23">
        <v>762</v>
      </c>
      <c r="D44" s="24">
        <v>560</v>
      </c>
      <c r="E44" s="25" t="s">
        <v>46</v>
      </c>
      <c r="F44" s="25"/>
      <c r="G44" s="37">
        <v>1</v>
      </c>
      <c r="H44" s="37"/>
      <c r="I44" s="37"/>
      <c r="J44" s="37"/>
      <c r="K4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0.76200000000000001</v>
      </c>
    </row>
    <row r="45" spans="1:15" x14ac:dyDescent="0.2">
      <c r="A45" s="21" t="s">
        <v>26</v>
      </c>
      <c r="B45" s="22">
        <v>8</v>
      </c>
      <c r="C45" s="23">
        <v>704</v>
      </c>
      <c r="D45" s="24">
        <v>560</v>
      </c>
      <c r="E45" s="25" t="s">
        <v>47</v>
      </c>
      <c r="F45" s="25"/>
      <c r="G45" s="37">
        <v>1</v>
      </c>
      <c r="H45" s="37"/>
      <c r="I45" s="37"/>
      <c r="J45" s="37"/>
      <c r="K4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5.6319999999999997</v>
      </c>
    </row>
    <row r="46" spans="1:15" x14ac:dyDescent="0.2">
      <c r="A46" s="21" t="s">
        <v>26</v>
      </c>
      <c r="B46" s="22">
        <v>1</v>
      </c>
      <c r="C46" s="23">
        <v>726</v>
      </c>
      <c r="D46" s="24">
        <v>560</v>
      </c>
      <c r="E46" s="25" t="s">
        <v>48</v>
      </c>
      <c r="F46" s="25"/>
      <c r="G46" s="37">
        <v>1</v>
      </c>
      <c r="H46" s="37"/>
      <c r="I46" s="37"/>
      <c r="J46" s="37"/>
      <c r="K4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0.72599999999999998</v>
      </c>
    </row>
    <row r="47" spans="1:15" x14ac:dyDescent="0.2">
      <c r="A47" s="21" t="s">
        <v>26</v>
      </c>
      <c r="B47" s="22">
        <v>2</v>
      </c>
      <c r="C47" s="23">
        <v>726</v>
      </c>
      <c r="D47" s="24">
        <v>150</v>
      </c>
      <c r="E47" s="25" t="s">
        <v>49</v>
      </c>
      <c r="F47" s="25"/>
      <c r="G47" s="37">
        <v>1</v>
      </c>
      <c r="H47" s="37"/>
      <c r="I47" s="37"/>
      <c r="J47" s="37"/>
      <c r="K4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1.452</v>
      </c>
    </row>
    <row r="48" spans="1:15" x14ac:dyDescent="0.2">
      <c r="A48" s="21" t="s">
        <v>26</v>
      </c>
      <c r="B48" s="22">
        <v>1</v>
      </c>
      <c r="C48" s="23">
        <v>635</v>
      </c>
      <c r="D48" s="24">
        <v>560</v>
      </c>
      <c r="E48" s="25" t="s">
        <v>50</v>
      </c>
      <c r="F48" s="25"/>
      <c r="G48" s="37">
        <v>1</v>
      </c>
      <c r="H48" s="37"/>
      <c r="I48" s="37">
        <v>1</v>
      </c>
      <c r="J48" s="37"/>
      <c r="K4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1.1950000000000001</v>
      </c>
    </row>
    <row r="49" spans="1:15" x14ac:dyDescent="0.2">
      <c r="A49" s="21" t="s">
        <v>26</v>
      </c>
      <c r="B49" s="22">
        <v>1</v>
      </c>
      <c r="C49" s="23">
        <v>415</v>
      </c>
      <c r="D49" s="24">
        <v>560</v>
      </c>
      <c r="E49" s="25" t="s">
        <v>50</v>
      </c>
      <c r="F49" s="25"/>
      <c r="G49" s="37">
        <v>1</v>
      </c>
      <c r="H49" s="37"/>
      <c r="I49" s="37"/>
      <c r="J49" s="37"/>
      <c r="K4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0.41499999999999998</v>
      </c>
    </row>
    <row r="50" spans="1:15" x14ac:dyDescent="0.2">
      <c r="A50" s="21" t="s">
        <v>26</v>
      </c>
      <c r="B50" s="22">
        <v>1</v>
      </c>
      <c r="C50" s="23">
        <v>599</v>
      </c>
      <c r="D50" s="24">
        <v>560</v>
      </c>
      <c r="E50" s="25" t="s">
        <v>51</v>
      </c>
      <c r="F50" s="25"/>
      <c r="G50" s="37">
        <v>1</v>
      </c>
      <c r="H50" s="37"/>
      <c r="I50" s="37"/>
      <c r="J50" s="37"/>
      <c r="K5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0.59899999999999998</v>
      </c>
    </row>
    <row r="51" spans="1:15" x14ac:dyDescent="0.2">
      <c r="A51" s="21" t="s">
        <v>26</v>
      </c>
      <c r="B51" s="22">
        <v>1</v>
      </c>
      <c r="C51" s="23">
        <v>379</v>
      </c>
      <c r="D51" s="24">
        <v>560</v>
      </c>
      <c r="E51" s="25" t="s">
        <v>51</v>
      </c>
      <c r="F51" s="25"/>
      <c r="G51" s="37">
        <v>1</v>
      </c>
      <c r="H51" s="37"/>
      <c r="I51" s="37"/>
      <c r="J51" s="37"/>
      <c r="K5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0.379</v>
      </c>
    </row>
    <row r="52" spans="1:15" x14ac:dyDescent="0.2">
      <c r="A52" s="21" t="s">
        <v>26</v>
      </c>
      <c r="B52" s="22">
        <v>2</v>
      </c>
      <c r="C52" s="23">
        <v>599</v>
      </c>
      <c r="D52" s="24">
        <v>150</v>
      </c>
      <c r="E52" s="25" t="s">
        <v>49</v>
      </c>
      <c r="F52" s="25"/>
      <c r="G52" s="37">
        <v>1</v>
      </c>
      <c r="H52" s="37"/>
      <c r="I52" s="37"/>
      <c r="J52" s="37"/>
      <c r="K5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1.198</v>
      </c>
    </row>
    <row r="53" spans="1:15" x14ac:dyDescent="0.2">
      <c r="A53" s="21" t="s">
        <v>26</v>
      </c>
      <c r="B53" s="22">
        <v>2</v>
      </c>
      <c r="C53" s="23">
        <v>379</v>
      </c>
      <c r="D53" s="24">
        <v>150</v>
      </c>
      <c r="E53" s="25" t="s">
        <v>49</v>
      </c>
      <c r="F53" s="25"/>
      <c r="G53" s="37">
        <v>1</v>
      </c>
      <c r="H53" s="37"/>
      <c r="I53" s="37"/>
      <c r="J53" s="37"/>
      <c r="K5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0.75800000000000001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1324</v>
      </c>
      <c r="B1">
        <f>Hoja1!B16*Hoja1!C16</f>
        <v>1324</v>
      </c>
      <c r="C1">
        <f>Hoja1!B16*Hoja1!D16</f>
        <v>600</v>
      </c>
      <c r="D1">
        <f>Hoja1!B16*Hoja1!D16</f>
        <v>600</v>
      </c>
    </row>
    <row r="2" spans="1:4" x14ac:dyDescent="0.2">
      <c r="A2">
        <f>Hoja1!B17*Hoja1!C17</f>
        <v>1272</v>
      </c>
      <c r="B2">
        <f>Hoja1!B17*Hoja1!C17</f>
        <v>1272</v>
      </c>
      <c r="C2">
        <f>Hoja1!B17*Hoja1!D17</f>
        <v>600</v>
      </c>
      <c r="D2">
        <f>Hoja1!B17*Hoja1!D17</f>
        <v>600</v>
      </c>
    </row>
    <row r="3" spans="1:4" x14ac:dyDescent="0.2">
      <c r="A3">
        <f>Hoja1!B18*Hoja1!C18</f>
        <v>3068</v>
      </c>
      <c r="B3">
        <f>Hoja1!B18*Hoja1!C18</f>
        <v>3068</v>
      </c>
      <c r="C3">
        <f>Hoja1!B18*Hoja1!D18</f>
        <v>1200</v>
      </c>
      <c r="D3">
        <f>Hoja1!B18*Hoja1!D18</f>
        <v>1200</v>
      </c>
    </row>
    <row r="4" spans="1:4" x14ac:dyDescent="0.2">
      <c r="A4">
        <f>Hoja1!B19*Hoja1!C19</f>
        <v>1732</v>
      </c>
      <c r="B4">
        <f>Hoja1!B19*Hoja1!C19</f>
        <v>1732</v>
      </c>
      <c r="C4">
        <f>Hoja1!B19*Hoja1!D19</f>
        <v>1200</v>
      </c>
      <c r="D4">
        <f>Hoja1!B19*Hoja1!D19</f>
        <v>1200</v>
      </c>
    </row>
    <row r="5" spans="1:4" x14ac:dyDescent="0.2">
      <c r="A5">
        <f>Hoja1!B20*Hoja1!C20</f>
        <v>3416</v>
      </c>
      <c r="B5">
        <f>Hoja1!B20*Hoja1!C20</f>
        <v>3416</v>
      </c>
      <c r="C5">
        <f>Hoja1!B20*Hoja1!D20</f>
        <v>2400</v>
      </c>
      <c r="D5">
        <f>Hoja1!B20*Hoja1!D20</f>
        <v>2400</v>
      </c>
    </row>
    <row r="6" spans="1:4" x14ac:dyDescent="0.2">
      <c r="A6">
        <f>Hoja1!B21*Hoja1!C21</f>
        <v>1354</v>
      </c>
      <c r="B6">
        <f>Hoja1!B21*Hoja1!C21</f>
        <v>1354</v>
      </c>
      <c r="C6">
        <f>Hoja1!B21*Hoja1!D21</f>
        <v>654</v>
      </c>
      <c r="D6">
        <f>Hoja1!B21*Hoja1!D21</f>
        <v>654</v>
      </c>
    </row>
    <row r="7" spans="1:4" x14ac:dyDescent="0.2">
      <c r="A7">
        <f>Hoja1!B22*Hoja1!C22</f>
        <v>1878</v>
      </c>
      <c r="B7">
        <f>Hoja1!B22*Hoja1!C22</f>
        <v>1878</v>
      </c>
      <c r="C7">
        <f>Hoja1!B22*Hoja1!D22</f>
        <v>760</v>
      </c>
      <c r="D7">
        <f>Hoja1!B22*Hoja1!D22</f>
        <v>760</v>
      </c>
    </row>
    <row r="8" spans="1:4" x14ac:dyDescent="0.2">
      <c r="A8">
        <f>Hoja1!B23*Hoja1!C23</f>
        <v>939</v>
      </c>
      <c r="B8">
        <f>Hoja1!B23*Hoja1!C23</f>
        <v>939</v>
      </c>
      <c r="C8">
        <f>Hoja1!B23*Hoja1!D23</f>
        <v>429</v>
      </c>
      <c r="D8">
        <f>Hoja1!B23*Hoja1!D23</f>
        <v>429</v>
      </c>
    </row>
    <row r="9" spans="1:4" x14ac:dyDescent="0.2">
      <c r="A9">
        <f>Hoja1!B24*Hoja1!C24</f>
        <v>740</v>
      </c>
      <c r="B9">
        <f>Hoja1!B24*Hoja1!C24</f>
        <v>740</v>
      </c>
      <c r="C9">
        <f>Hoja1!B24*Hoja1!D24</f>
        <v>380</v>
      </c>
      <c r="D9">
        <f>Hoja1!B24*Hoja1!D24</f>
        <v>380</v>
      </c>
    </row>
    <row r="10" spans="1:4" x14ac:dyDescent="0.2">
      <c r="A10">
        <f>Hoja1!B25*Hoja1!C25</f>
        <v>740</v>
      </c>
      <c r="B10">
        <f>Hoja1!B25*Hoja1!C25</f>
        <v>740</v>
      </c>
      <c r="C10">
        <f>Hoja1!B25*Hoja1!D25</f>
        <v>375</v>
      </c>
      <c r="D10">
        <f>Hoja1!B25*Hoja1!D25</f>
        <v>375</v>
      </c>
    </row>
    <row r="11" spans="1:4" x14ac:dyDescent="0.2">
      <c r="A11">
        <f>Hoja1!B26*Hoja1!C26</f>
        <v>429</v>
      </c>
      <c r="B11">
        <f>Hoja1!B26*Hoja1!C26</f>
        <v>429</v>
      </c>
      <c r="C11">
        <f>Hoja1!B26*Hoja1!D26</f>
        <v>256</v>
      </c>
      <c r="D11">
        <f>Hoja1!B26*Hoja1!D26</f>
        <v>256</v>
      </c>
    </row>
    <row r="12" spans="1:4" x14ac:dyDescent="0.2">
      <c r="A12">
        <f>Hoja1!B27*Hoja1!C27</f>
        <v>858</v>
      </c>
      <c r="B12">
        <f>Hoja1!B27*Hoja1!C27</f>
        <v>858</v>
      </c>
      <c r="C12">
        <f>Hoja1!B27*Hoja1!D27</f>
        <v>476</v>
      </c>
      <c r="D12">
        <f>Hoja1!B27*Hoja1!D27</f>
        <v>476</v>
      </c>
    </row>
    <row r="13" spans="1:4" x14ac:dyDescent="0.2">
      <c r="A13">
        <f>Hoja1!B28*Hoja1!C28</f>
        <v>2286</v>
      </c>
      <c r="B13">
        <f>Hoja1!B28*Hoja1!C28</f>
        <v>2286</v>
      </c>
      <c r="C13">
        <f>Hoja1!B28*Hoja1!D28</f>
        <v>900</v>
      </c>
      <c r="D13">
        <f>Hoja1!B28*Hoja1!D28</f>
        <v>900</v>
      </c>
    </row>
    <row r="14" spans="1:4" x14ac:dyDescent="0.2">
      <c r="A14">
        <f>Hoja1!B29*Hoja1!C29</f>
        <v>2484</v>
      </c>
      <c r="B14">
        <f>Hoja1!B29*Hoja1!C29</f>
        <v>2484</v>
      </c>
      <c r="C14">
        <f>Hoja1!B29*Hoja1!D29</f>
        <v>900</v>
      </c>
      <c r="D14">
        <f>Hoja1!B29*Hoja1!D29</f>
        <v>900</v>
      </c>
    </row>
    <row r="15" spans="1:4" x14ac:dyDescent="0.2">
      <c r="A15">
        <f>Hoja1!B30*Hoja1!C30</f>
        <v>1480</v>
      </c>
      <c r="B15">
        <f>Hoja1!B30*Hoja1!C30</f>
        <v>1480</v>
      </c>
      <c r="C15">
        <f>Hoja1!B30*Hoja1!D30</f>
        <v>628</v>
      </c>
      <c r="D15">
        <f>Hoja1!B30*Hoja1!D30</f>
        <v>628</v>
      </c>
    </row>
    <row r="16" spans="1:4" x14ac:dyDescent="0.2">
      <c r="A16">
        <f>Hoja1!B31*Hoja1!C31</f>
        <v>740</v>
      </c>
      <c r="B16">
        <f>Hoja1!B31*Hoja1!C31</f>
        <v>740</v>
      </c>
      <c r="C16">
        <f>Hoja1!B31*Hoja1!D31</f>
        <v>410</v>
      </c>
      <c r="D16">
        <f>Hoja1!B31*Hoja1!D31</f>
        <v>410</v>
      </c>
    </row>
    <row r="17" spans="1:4" x14ac:dyDescent="0.2">
      <c r="A17">
        <f>Hoja1!B32*Hoja1!C32</f>
        <v>1008</v>
      </c>
      <c r="B17">
        <f>Hoja1!B32*Hoja1!C32</f>
        <v>1008</v>
      </c>
      <c r="C17">
        <f>Hoja1!B32*Hoja1!D32</f>
        <v>600</v>
      </c>
      <c r="D17">
        <f>Hoja1!B32*Hoja1!D32</f>
        <v>600</v>
      </c>
    </row>
    <row r="18" spans="1:4" x14ac:dyDescent="0.2">
      <c r="A18">
        <f>Hoja1!B33*Hoja1!C33</f>
        <v>1778</v>
      </c>
      <c r="B18">
        <f>Hoja1!B33*Hoja1!C33</f>
        <v>1778</v>
      </c>
      <c r="C18">
        <f>Hoja1!B33*Hoja1!D33</f>
        <v>600</v>
      </c>
      <c r="D18">
        <f>Hoja1!B33*Hoja1!D33</f>
        <v>600</v>
      </c>
    </row>
    <row r="19" spans="1:4" x14ac:dyDescent="0.2">
      <c r="A19">
        <f>Hoja1!B34*Hoja1!C34</f>
        <v>1728</v>
      </c>
      <c r="B19">
        <f>Hoja1!B34*Hoja1!C34</f>
        <v>1728</v>
      </c>
      <c r="C19">
        <f>Hoja1!B34*Hoja1!D34</f>
        <v>900</v>
      </c>
      <c r="D19">
        <f>Hoja1!B34*Hoja1!D34</f>
        <v>900</v>
      </c>
    </row>
    <row r="20" spans="1:4" x14ac:dyDescent="0.2">
      <c r="A20">
        <f>Hoja1!B35*Hoja1!C35</f>
        <v>1342</v>
      </c>
      <c r="B20">
        <f>Hoja1!B35*Hoja1!C35</f>
        <v>1342</v>
      </c>
      <c r="C20">
        <f>Hoja1!B35*Hoja1!D35</f>
        <v>600</v>
      </c>
      <c r="D20">
        <f>Hoja1!B35*Hoja1!D35</f>
        <v>600</v>
      </c>
    </row>
    <row r="21" spans="1:4" x14ac:dyDescent="0.2">
      <c r="A21">
        <f>Hoja1!B36*Hoja1!C36</f>
        <v>576</v>
      </c>
      <c r="B21">
        <f>Hoja1!B36*Hoja1!C36</f>
        <v>576</v>
      </c>
      <c r="C21">
        <f>Hoja1!B36*Hoja1!D36</f>
        <v>450</v>
      </c>
      <c r="D21">
        <f>Hoja1!B36*Hoja1!D36</f>
        <v>450</v>
      </c>
    </row>
    <row r="22" spans="1:4" x14ac:dyDescent="0.2">
      <c r="A22">
        <f>Hoja1!B37*Hoja1!C37</f>
        <v>776</v>
      </c>
      <c r="B22">
        <f>Hoja1!B37*Hoja1!C37</f>
        <v>776</v>
      </c>
      <c r="C22">
        <f>Hoja1!B37*Hoja1!D37</f>
        <v>600</v>
      </c>
      <c r="D22">
        <f>Hoja1!B37*Hoja1!D37</f>
        <v>600</v>
      </c>
    </row>
    <row r="23" spans="1:4" x14ac:dyDescent="0.2">
      <c r="A23">
        <f>Hoja1!B38*Hoja1!C38</f>
        <v>1878</v>
      </c>
      <c r="B23">
        <f>Hoja1!B38*Hoja1!C38</f>
        <v>1878</v>
      </c>
      <c r="C23">
        <f>Hoja1!B38*Hoja1!D38</f>
        <v>496</v>
      </c>
      <c r="D23">
        <f>Hoja1!B38*Hoja1!D38</f>
        <v>496</v>
      </c>
    </row>
    <row r="24" spans="1:4" x14ac:dyDescent="0.2">
      <c r="A24">
        <f>Hoja1!B39*Hoja1!C39</f>
        <v>1482</v>
      </c>
      <c r="B24">
        <f>Hoja1!B39*Hoja1!C39</f>
        <v>1482</v>
      </c>
      <c r="C24">
        <f>Hoja1!B39*Hoja1!D39</f>
        <v>568</v>
      </c>
      <c r="D24">
        <f>Hoja1!B39*Hoja1!D39</f>
        <v>568</v>
      </c>
    </row>
    <row r="25" spans="1:4" x14ac:dyDescent="0.2">
      <c r="A25">
        <f>Hoja1!B40*Hoja1!C40</f>
        <v>468</v>
      </c>
      <c r="B25">
        <f>Hoja1!B40*Hoja1!C40</f>
        <v>468</v>
      </c>
      <c r="C25">
        <f>Hoja1!B40*Hoja1!D40</f>
        <v>300</v>
      </c>
      <c r="D25">
        <f>Hoja1!B40*Hoja1!D40</f>
        <v>300</v>
      </c>
    </row>
    <row r="26" spans="1:4" x14ac:dyDescent="0.2">
      <c r="A26">
        <f>Hoja1!B41*Hoja1!C41</f>
        <v>540</v>
      </c>
      <c r="B26">
        <f>Hoja1!B41*Hoja1!C41</f>
        <v>540</v>
      </c>
      <c r="C26">
        <f>Hoja1!B41*Hoja1!D41</f>
        <v>300</v>
      </c>
      <c r="D26">
        <f>Hoja1!B41*Hoja1!D41</f>
        <v>300</v>
      </c>
    </row>
    <row r="27" spans="1:4" x14ac:dyDescent="0.2">
      <c r="A27">
        <f>Hoja1!B42*Hoja1!C42</f>
        <v>1128</v>
      </c>
      <c r="B27">
        <f>Hoja1!B42*Hoja1!C42</f>
        <v>1128</v>
      </c>
      <c r="C27">
        <f>Hoja1!B42*Hoja1!D42</f>
        <v>880</v>
      </c>
      <c r="D27">
        <f>Hoja1!B42*Hoja1!D42</f>
        <v>880</v>
      </c>
    </row>
    <row r="28" spans="1:4" x14ac:dyDescent="0.2">
      <c r="A28">
        <f>Hoja1!B43*Hoja1!C43</f>
        <v>868</v>
      </c>
      <c r="B28">
        <f>Hoja1!B43*Hoja1!C43</f>
        <v>868</v>
      </c>
      <c r="C28">
        <f>Hoja1!B43*Hoja1!D43</f>
        <v>1120</v>
      </c>
      <c r="D28">
        <f>Hoja1!B43*Hoja1!D43</f>
        <v>1120</v>
      </c>
    </row>
    <row r="29" spans="1:4" x14ac:dyDescent="0.2">
      <c r="A29">
        <f>Hoja1!B44*Hoja1!C44</f>
        <v>762</v>
      </c>
      <c r="B29">
        <f>Hoja1!B44*Hoja1!C44</f>
        <v>762</v>
      </c>
      <c r="C29">
        <f>Hoja1!B44*Hoja1!D44</f>
        <v>560</v>
      </c>
      <c r="D29">
        <f>Hoja1!B44*Hoja1!D44</f>
        <v>560</v>
      </c>
    </row>
    <row r="30" spans="1:4" x14ac:dyDescent="0.2">
      <c r="A30">
        <f>Hoja1!B45*Hoja1!C45</f>
        <v>5632</v>
      </c>
      <c r="B30">
        <f>Hoja1!B45*Hoja1!C45</f>
        <v>5632</v>
      </c>
      <c r="C30">
        <f>Hoja1!B45*Hoja1!D45</f>
        <v>4480</v>
      </c>
      <c r="D30">
        <f>Hoja1!B45*Hoja1!D45</f>
        <v>4480</v>
      </c>
    </row>
    <row r="31" spans="1:4" x14ac:dyDescent="0.2">
      <c r="A31">
        <f>Hoja1!B46*Hoja1!C46</f>
        <v>726</v>
      </c>
      <c r="B31">
        <f>Hoja1!B46*Hoja1!C46</f>
        <v>726</v>
      </c>
      <c r="C31">
        <f>Hoja1!B46*Hoja1!D46</f>
        <v>560</v>
      </c>
      <c r="D31">
        <f>Hoja1!B46*Hoja1!D46</f>
        <v>560</v>
      </c>
    </row>
    <row r="32" spans="1:4" x14ac:dyDescent="0.2">
      <c r="A32">
        <f>Hoja1!B47*Hoja1!C47</f>
        <v>1452</v>
      </c>
      <c r="B32">
        <f>Hoja1!B47*Hoja1!C47</f>
        <v>1452</v>
      </c>
      <c r="C32">
        <f>Hoja1!B47*Hoja1!D47</f>
        <v>300</v>
      </c>
      <c r="D32">
        <f>Hoja1!B47*Hoja1!D47</f>
        <v>300</v>
      </c>
    </row>
    <row r="33" spans="1:4" x14ac:dyDescent="0.2">
      <c r="A33">
        <f>Hoja1!B48*Hoja1!C48</f>
        <v>635</v>
      </c>
      <c r="B33">
        <f>Hoja1!B48*Hoja1!C48</f>
        <v>635</v>
      </c>
      <c r="C33">
        <f>Hoja1!B48*Hoja1!D48</f>
        <v>560</v>
      </c>
      <c r="D33">
        <f>Hoja1!B48*Hoja1!D48</f>
        <v>560</v>
      </c>
    </row>
    <row r="34" spans="1:4" x14ac:dyDescent="0.2">
      <c r="A34">
        <f>Hoja1!B49*Hoja1!C49</f>
        <v>415</v>
      </c>
      <c r="B34">
        <f>Hoja1!B49*Hoja1!C49</f>
        <v>415</v>
      </c>
      <c r="C34">
        <f>Hoja1!B49*Hoja1!D49</f>
        <v>560</v>
      </c>
      <c r="D34">
        <f>Hoja1!B49*Hoja1!D49</f>
        <v>560</v>
      </c>
    </row>
    <row r="35" spans="1:4" x14ac:dyDescent="0.2">
      <c r="A35">
        <f>Hoja1!B50*Hoja1!C50</f>
        <v>599</v>
      </c>
      <c r="B35">
        <f>Hoja1!B50*Hoja1!C50</f>
        <v>599</v>
      </c>
      <c r="C35">
        <f>Hoja1!B50*Hoja1!D50</f>
        <v>560</v>
      </c>
      <c r="D35">
        <f>Hoja1!B50*Hoja1!D50</f>
        <v>560</v>
      </c>
    </row>
    <row r="36" spans="1:4" x14ac:dyDescent="0.2">
      <c r="A36">
        <f>Hoja1!B51*Hoja1!C51</f>
        <v>379</v>
      </c>
      <c r="B36">
        <f>Hoja1!B51*Hoja1!C51</f>
        <v>379</v>
      </c>
      <c r="C36">
        <f>Hoja1!B51*Hoja1!D51</f>
        <v>560</v>
      </c>
      <c r="D36">
        <f>Hoja1!B51*Hoja1!D51</f>
        <v>560</v>
      </c>
    </row>
    <row r="37" spans="1:4" x14ac:dyDescent="0.2">
      <c r="A37">
        <f>Hoja1!B52*Hoja1!C52</f>
        <v>1198</v>
      </c>
      <c r="B37">
        <f>Hoja1!B52*Hoja1!C52</f>
        <v>1198</v>
      </c>
      <c r="C37">
        <f>Hoja1!B52*Hoja1!D52</f>
        <v>300</v>
      </c>
      <c r="D37">
        <f>Hoja1!B52*Hoja1!D52</f>
        <v>300</v>
      </c>
    </row>
    <row r="38" spans="1:4" x14ac:dyDescent="0.2">
      <c r="A38">
        <f>Hoja1!B53*Hoja1!C53</f>
        <v>758</v>
      </c>
      <c r="B38">
        <f>Hoja1!B53*Hoja1!C53</f>
        <v>758</v>
      </c>
      <c r="C38">
        <f>Hoja1!B53*Hoja1!D53</f>
        <v>300</v>
      </c>
      <c r="D38">
        <f>Hoja1!B53*Hoja1!D53</f>
        <v>300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2024-12-09T13:05:37Z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