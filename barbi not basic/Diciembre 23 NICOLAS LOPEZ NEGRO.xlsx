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barbi not basic\"/>
    </mc:Choice>
  </mc:AlternateContent>
  <xr:revisionPtr revIDLastSave="0" documentId="13_ncr:1_{EF5EC927-9D55-4FC5-8C09-E558F180C71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E9" i="1" l="1"/>
  <c r="R23" i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<sst xmlns="http://schemas.openxmlformats.org/spreadsheetml/2006/main" count="50" uniqueCount="39">
  <si>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</si>
  <si>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</si>
  <si>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</si>
  <si>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</si>
  <si>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</si>
  <si>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</si>
  <si>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</si>
  <si>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</si>
  <si>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</si>
  <si>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</si>
  <si>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</si>
  <si>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</si>
  <si>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</si>
  <si>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</si>
  <si>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</si>
  <si>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</si>
  <si>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</si>
  <si>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</si>
  <si>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</si>
  <si>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</si>
  <si>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</si>
  <si>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</si>
  <si>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</si>
  <si>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</si>
  <si>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</si>
  <si>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</si>
  <si>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</si>
  <si>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045mm NEGRO</t>
  </si>
  <si>
    <t>base mue der</t>
  </si>
  <si>
    <t>lat mue der</t>
  </si>
  <si>
    <t>estante mue der</t>
  </si>
  <si>
    <t>zocalo mue der</t>
  </si>
  <si>
    <t>base mue esqui</t>
  </si>
  <si>
    <t>lat mue esqui</t>
  </si>
  <si>
    <t>estante esqui</t>
  </si>
  <si>
    <t>base esqui</t>
  </si>
  <si>
    <t>zocalo mue frente</t>
  </si>
  <si>
    <t>zocalo mue esqui</t>
  </si>
  <si>
    <t xml:space="preserve">base frente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</si>
</sst>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3" zoomScale="115" zoomScaleNormal="115" workbookViewId="0">
      <selection activeCell="A30" sqref="A30:A5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314.529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30.386999999999997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4</v>
      </c>
      <c r="C16" s="23">
        <v>515</v>
      </c>
      <c r="D16" s="24">
        <v>350</v>
      </c>
      <c r="E16" s="25" t="s">
        <v>28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3.46</v>
      </c>
      <c r="Q16">
        <v>1</v>
      </c>
      <c r="R16" s="34">
        <f>((SUMIF(G16:G1016,D3,Hoja3!A1:A1001)+SUMIF(H16:H1016,D3,Hoja3!B1:B1001)+SUMIF(I16:I1016,D3,Hoja3!C1:C1001)+SUMIF(J16:J1016,D3,Hoja3!D1:D1001))/1000)*1.05</f>
        <v>30.387000000000004</v>
      </c>
      <c r="S16" s="35" t="str">
        <f t="shared" ref="S16:S23" si="1">A3</f>
        <v>045mm NEGRO</v>
      </c>
    </row>
    <row r="17" spans="1:19" ht="15.75" x14ac:dyDescent="0.25">
      <c r="A17" s="21">
        <v>9119872</v>
      </c>
      <c r="B17" s="22">
        <v>4</v>
      </c>
      <c r="C17" s="23">
        <v>1732</v>
      </c>
      <c r="D17" s="24">
        <v>350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6.9279999999999999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8</v>
      </c>
      <c r="C18" s="23">
        <v>479</v>
      </c>
      <c r="D18" s="24">
        <v>350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3.8319999999999999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1</v>
      </c>
      <c r="C19" s="23">
        <v>1030</v>
      </c>
      <c r="D19" s="24">
        <v>400</v>
      </c>
      <c r="E19" s="25" t="s">
        <v>28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045mm NEGRO</v>
      </c>
      <c r="O19" s="33">
        <f t="shared" si="0"/>
        <v>1.83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2</v>
      </c>
      <c r="C20" s="23">
        <v>1030</v>
      </c>
      <c r="D20" s="24">
        <v>70</v>
      </c>
      <c r="E20" s="25" t="s">
        <v>31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2</v>
      </c>
      <c r="C21" s="23">
        <v>314</v>
      </c>
      <c r="D21" s="24">
        <v>70</v>
      </c>
      <c r="E21" s="25" t="s">
        <v>31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2</v>
      </c>
      <c r="C22" s="23">
        <v>800</v>
      </c>
      <c r="D22" s="24">
        <v>300</v>
      </c>
      <c r="E22" s="25" t="s">
        <v>32</v>
      </c>
      <c r="F22" s="25"/>
      <c r="G22" s="36">
        <v>1</v>
      </c>
      <c r="H22" s="36"/>
      <c r="I22" s="36">
        <v>1</v>
      </c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2.2000000000000002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2</v>
      </c>
      <c r="C23" s="23">
        <v>1732</v>
      </c>
      <c r="D23" s="24">
        <v>300</v>
      </c>
      <c r="E23" s="25" t="s">
        <v>33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3.464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4</v>
      </c>
      <c r="C24" s="23">
        <v>764</v>
      </c>
      <c r="D24" s="24">
        <v>300</v>
      </c>
      <c r="E24" s="25" t="s">
        <v>34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3.056</v>
      </c>
      <c r="R24" s="38">
        <f>SUM(R16:R23)</f>
        <v>30.387000000000004</v>
      </c>
      <c r="S24" s="39" t="s">
        <v>26</v>
      </c>
    </row>
    <row r="25" spans="1:19" x14ac:dyDescent="0.2">
      <c r="A25" s="21">
        <v>9119872</v>
      </c>
      <c r="B25" s="22">
        <v>1</v>
      </c>
      <c r="C25" s="23">
        <v>1200</v>
      </c>
      <c r="D25" s="24">
        <v>350</v>
      </c>
      <c r="E25" s="25" t="s">
        <v>35</v>
      </c>
      <c r="F25" s="25"/>
      <c r="G25" s="37">
        <v>1</v>
      </c>
      <c r="H25" s="37"/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045mm NEGRO</v>
      </c>
      <c r="O25" s="33">
        <f t="shared" si="0"/>
        <v>1.9</v>
      </c>
    </row>
    <row r="26" spans="1:19" x14ac:dyDescent="0.2">
      <c r="A26" s="21">
        <v>9119872</v>
      </c>
      <c r="B26" s="22">
        <v>2</v>
      </c>
      <c r="C26" s="23">
        <v>1200</v>
      </c>
      <c r="D26" s="24">
        <v>70</v>
      </c>
      <c r="E26" s="25" t="s">
        <v>37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>
        <v>9119872</v>
      </c>
      <c r="B27" s="22">
        <v>8</v>
      </c>
      <c r="C27" s="23">
        <v>264</v>
      </c>
      <c r="D27" s="24">
        <v>70</v>
      </c>
      <c r="E27" s="25" t="s">
        <v>37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>
        <v>9119872</v>
      </c>
      <c r="B28" s="22">
        <v>2</v>
      </c>
      <c r="C28" s="23">
        <v>1570</v>
      </c>
      <c r="D28" s="24">
        <v>70</v>
      </c>
      <c r="E28" s="25" t="s">
        <v>36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>
        <v>9119872</v>
      </c>
      <c r="B29" s="22">
        <v>1</v>
      </c>
      <c r="C29" s="23">
        <v>1570</v>
      </c>
      <c r="D29" s="24">
        <v>350</v>
      </c>
      <c r="E29" s="25" t="s">
        <v>38</v>
      </c>
      <c r="F29" s="25"/>
      <c r="G29" s="37">
        <v>1</v>
      </c>
      <c r="H29" s="37"/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045mm NEGRO</v>
      </c>
      <c r="O29" s="33">
        <f t="shared" si="0"/>
        <v>2.27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2060</v>
      </c>
      <c r="B1">
        <f>Hoja1!B16*Hoja1!C16</f>
        <v>2060</v>
      </c>
      <c r="C1">
        <f>Hoja1!B16*Hoja1!D16</f>
        <v>1400</v>
      </c>
      <c r="D1">
        <f>Hoja1!B16*Hoja1!D16</f>
        <v>1400</v>
      </c>
    </row>
    <row r="2" spans="1:4" x14ac:dyDescent="0.2">
      <c r="A2">
        <f>Hoja1!B17*Hoja1!C17</f>
        <v>6928</v>
      </c>
      <c r="B2">
        <f>Hoja1!B17*Hoja1!C17</f>
        <v>6928</v>
      </c>
      <c r="C2">
        <f>Hoja1!B17*Hoja1!D17</f>
        <v>1400</v>
      </c>
      <c r="D2">
        <f>Hoja1!B17*Hoja1!D17</f>
        <v>1400</v>
      </c>
    </row>
    <row r="3" spans="1:4" x14ac:dyDescent="0.2">
      <c r="A3">
        <f>Hoja1!B18*Hoja1!C18</f>
        <v>3832</v>
      </c>
      <c r="B3">
        <f>Hoja1!B18*Hoja1!C18</f>
        <v>3832</v>
      </c>
      <c r="C3">
        <f>Hoja1!B18*Hoja1!D18</f>
        <v>2800</v>
      </c>
      <c r="D3">
        <f>Hoja1!B18*Hoja1!D18</f>
        <v>2800</v>
      </c>
    </row>
    <row r="4" spans="1:4" x14ac:dyDescent="0.2">
      <c r="A4">
        <f>Hoja1!B19*Hoja1!C19</f>
        <v>1030</v>
      </c>
      <c r="B4">
        <f>Hoja1!B19*Hoja1!C19</f>
        <v>1030</v>
      </c>
      <c r="C4">
        <f>Hoja1!B19*Hoja1!D19</f>
        <v>400</v>
      </c>
      <c r="D4">
        <f>Hoja1!B19*Hoja1!D19</f>
        <v>400</v>
      </c>
    </row>
    <row r="5" spans="1:4" x14ac:dyDescent="0.2">
      <c r="A5">
        <f>Hoja1!B20*Hoja1!C20</f>
        <v>2060</v>
      </c>
      <c r="B5">
        <f>Hoja1!B20*Hoja1!C20</f>
        <v>2060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628</v>
      </c>
      <c r="B6">
        <f>Hoja1!B21*Hoja1!C21</f>
        <v>628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1600</v>
      </c>
      <c r="B7">
        <f>Hoja1!B22*Hoja1!C22</f>
        <v>1600</v>
      </c>
      <c r="C7">
        <f>Hoja1!B22*Hoja1!D22</f>
        <v>600</v>
      </c>
      <c r="D7">
        <f>Hoja1!B22*Hoja1!D22</f>
        <v>600</v>
      </c>
    </row>
    <row r="8" spans="1:4" x14ac:dyDescent="0.2">
      <c r="A8">
        <f>Hoja1!B23*Hoja1!C23</f>
        <v>3464</v>
      </c>
      <c r="B8">
        <f>Hoja1!B23*Hoja1!C23</f>
        <v>3464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3056</v>
      </c>
      <c r="B9">
        <f>Hoja1!B24*Hoja1!C24</f>
        <v>3056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1200</v>
      </c>
      <c r="B10">
        <f>Hoja1!B25*Hoja1!C25</f>
        <v>1200</v>
      </c>
      <c r="C10">
        <f>Hoja1!B25*Hoja1!D25</f>
        <v>350</v>
      </c>
      <c r="D10">
        <f>Hoja1!B25*Hoja1!D25</f>
        <v>350</v>
      </c>
    </row>
    <row r="11" spans="1:4" x14ac:dyDescent="0.2">
      <c r="A11">
        <f>Hoja1!B26*Hoja1!C26</f>
        <v>2400</v>
      </c>
      <c r="B11">
        <f>Hoja1!B26*Hoja1!C26</f>
        <v>2400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2112</v>
      </c>
      <c r="B12">
        <f>Hoja1!B27*Hoja1!C27</f>
        <v>2112</v>
      </c>
      <c r="C12">
        <f>Hoja1!B27*Hoja1!D27</f>
        <v>560</v>
      </c>
      <c r="D12">
        <f>Hoja1!B27*Hoja1!D27</f>
        <v>560</v>
      </c>
    </row>
    <row r="13" spans="1:4" x14ac:dyDescent="0.2">
      <c r="A13">
        <f>Hoja1!B28*Hoja1!C28</f>
        <v>3140</v>
      </c>
      <c r="B13">
        <f>Hoja1!B28*Hoja1!C28</f>
        <v>3140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1570</v>
      </c>
      <c r="B14">
        <f>Hoja1!B29*Hoja1!C29</f>
        <v>1570</v>
      </c>
      <c r="C14">
        <f>Hoja1!B29*Hoja1!D29</f>
        <v>350</v>
      </c>
      <c r="D14">
        <f>Hoja1!B29*Hoja1!D29</f>
        <v>350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2024-12-23T14:45:04Z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