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ria jose noguera\"/>
    </mc:Choice>
  </mc:AlternateContent>
  <xr:revisionPtr revIDLastSave="0" documentId="13_ncr:1_{DD7F5941-365D-4130-BFF9-A0FAF338586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<sst xmlns="http://schemas.openxmlformats.org/spreadsheetml/2006/main" count="56" uniqueCount="37">
  <si>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</si>
  <si>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</si>
  <si>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</si>
  <si>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</si>
  <si>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</si>
  <si>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</si>
  <si>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</si>
  <si>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</si>
  <si>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</si>
  <si>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</si>
  <si>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</si>
  <si>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</si>
  <si>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</si>
  <si>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</si>
  <si>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</si>
  <si>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</si>
  <si>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</si>
  <si>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</si>
  <si>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</si>
  <si>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</si>
  <si>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</si>
  <si>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</si>
  <si>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</si>
  <si>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</si>
  <si>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</si>
  <si>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</si>
  <si>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</si>
  <si>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</si>
  <si>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</si>
  <si>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1</t>
  </si>
  <si>
    <t xml:space="preserve">lateral </t>
  </si>
  <si>
    <t>puertas</t>
  </si>
  <si>
    <t>zocalo</t>
  </si>
  <si>
    <t>base final</t>
  </si>
  <si>
    <t>tapas cajon</t>
  </si>
  <si>
    <t>lat ccajon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</si>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</sst>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A25" sqref="A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890.64800000000002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78.279600000000002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8</v>
      </c>
      <c r="C16" s="23">
        <v>646</v>
      </c>
      <c r="D16" s="24">
        <v>432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5.1680000000000001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78.279600000000016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16</v>
      </c>
      <c r="C17" s="23">
        <v>583</v>
      </c>
      <c r="D17" s="24">
        <v>220</v>
      </c>
      <c r="E17" s="25" t="s">
        <v>35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16.367999999999999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8</v>
      </c>
      <c r="C18" s="23">
        <v>632</v>
      </c>
      <c r="D18" s="24">
        <v>432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5.056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8</v>
      </c>
      <c r="C19" s="23">
        <v>642</v>
      </c>
      <c r="D19" s="24">
        <v>328</v>
      </c>
      <c r="E19" s="25" t="s">
        <v>34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15.52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4</v>
      </c>
      <c r="C20" s="23">
        <v>1291</v>
      </c>
      <c r="D20" s="24">
        <v>70</v>
      </c>
      <c r="E20" s="25" t="s">
        <v>32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346</v>
      </c>
      <c r="D21" s="24">
        <v>70</v>
      </c>
      <c r="E21" s="25" t="s">
        <v>32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2583</v>
      </c>
      <c r="D22" s="24">
        <v>450</v>
      </c>
      <c r="E22" s="25" t="s">
        <v>33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6.0659999999999998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1996</v>
      </c>
      <c r="D23" s="24">
        <v>405</v>
      </c>
      <c r="E23" s="25" t="s">
        <v>31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4.8019999999999996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1996</v>
      </c>
      <c r="D24" s="24">
        <v>485</v>
      </c>
      <c r="E24" s="25" t="s">
        <v>31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9.9239999999999995</v>
      </c>
      <c r="R24" s="38">
        <f>SUM(R16:R23)</f>
        <v>78.279600000000016</v>
      </c>
      <c r="S24" s="39" t="s">
        <v>27</v>
      </c>
    </row>
    <row r="25" spans="1:19" x14ac:dyDescent="0.2">
      <c r="A25" s="21" t="s">
        <v>26</v>
      </c>
      <c r="B25" s="22">
        <v>16</v>
      </c>
      <c r="C25" s="23">
        <v>364</v>
      </c>
      <c r="D25" s="24">
        <v>220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11.648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5168</v>
      </c>
      <c r="B1">
        <f>Hoja1!B16*Hoja1!C16</f>
        <v>5168</v>
      </c>
      <c r="C1">
        <f>Hoja1!B16*Hoja1!D16</f>
        <v>3456</v>
      </c>
      <c r="D1">
        <f>Hoja1!B16*Hoja1!D16</f>
        <v>3456</v>
      </c>
    </row>
    <row r="2" spans="1:4" x14ac:dyDescent="0.2">
      <c r="A2">
        <f>Hoja1!B17*Hoja1!C17</f>
        <v>9328</v>
      </c>
      <c r="B2">
        <f>Hoja1!B17*Hoja1!C17</f>
        <v>9328</v>
      </c>
      <c r="C2">
        <f>Hoja1!B17*Hoja1!D17</f>
        <v>3520</v>
      </c>
      <c r="D2">
        <f>Hoja1!B17*Hoja1!D17</f>
        <v>3520</v>
      </c>
    </row>
    <row r="3" spans="1:4" x14ac:dyDescent="0.2">
      <c r="A3">
        <f>Hoja1!B18*Hoja1!C18</f>
        <v>5056</v>
      </c>
      <c r="B3">
        <f>Hoja1!B18*Hoja1!C18</f>
        <v>5056</v>
      </c>
      <c r="C3">
        <f>Hoja1!B18*Hoja1!D18</f>
        <v>3456</v>
      </c>
      <c r="D3">
        <f>Hoja1!B18*Hoja1!D18</f>
        <v>3456</v>
      </c>
    </row>
    <row r="4" spans="1:4" x14ac:dyDescent="0.2">
      <c r="A4">
        <f>Hoja1!B19*Hoja1!C19</f>
        <v>5136</v>
      </c>
      <c r="B4">
        <f>Hoja1!B19*Hoja1!C19</f>
        <v>5136</v>
      </c>
      <c r="C4">
        <f>Hoja1!B19*Hoja1!D19</f>
        <v>2624</v>
      </c>
      <c r="D4">
        <f>Hoja1!B19*Hoja1!D19</f>
        <v>2624</v>
      </c>
    </row>
    <row r="5" spans="1:4" x14ac:dyDescent="0.2">
      <c r="A5">
        <f>Hoja1!B20*Hoja1!C20</f>
        <v>5164</v>
      </c>
      <c r="B5">
        <f>Hoja1!B20*Hoja1!C20</f>
        <v>5164</v>
      </c>
      <c r="C5">
        <f>Hoja1!B20*Hoja1!D20</f>
        <v>280</v>
      </c>
      <c r="D5">
        <f>Hoja1!B20*Hoja1!D20</f>
        <v>280</v>
      </c>
    </row>
    <row r="6" spans="1:4" x14ac:dyDescent="0.2">
      <c r="A6">
        <f>Hoja1!B21*Hoja1!C21</f>
        <v>1384</v>
      </c>
      <c r="B6">
        <f>Hoja1!B21*Hoja1!C21</f>
        <v>1384</v>
      </c>
      <c r="C6">
        <f>Hoja1!B21*Hoja1!D21</f>
        <v>280</v>
      </c>
      <c r="D6">
        <f>Hoja1!B21*Hoja1!D21</f>
        <v>280</v>
      </c>
    </row>
    <row r="7" spans="1:4" x14ac:dyDescent="0.2">
      <c r="A7">
        <f>Hoja1!B22*Hoja1!C22</f>
        <v>2583</v>
      </c>
      <c r="B7">
        <f>Hoja1!B22*Hoja1!C22</f>
        <v>2583</v>
      </c>
      <c r="C7">
        <f>Hoja1!B22*Hoja1!D22</f>
        <v>450</v>
      </c>
      <c r="D7">
        <f>Hoja1!B22*Hoja1!D22</f>
        <v>450</v>
      </c>
    </row>
    <row r="8" spans="1:4" x14ac:dyDescent="0.2">
      <c r="A8">
        <f>Hoja1!B23*Hoja1!C23</f>
        <v>1996</v>
      </c>
      <c r="B8">
        <f>Hoja1!B23*Hoja1!C23</f>
        <v>1996</v>
      </c>
      <c r="C8">
        <f>Hoja1!B23*Hoja1!D23</f>
        <v>405</v>
      </c>
      <c r="D8">
        <f>Hoja1!B23*Hoja1!D23</f>
        <v>405</v>
      </c>
    </row>
    <row r="9" spans="1:4" x14ac:dyDescent="0.2">
      <c r="A9">
        <f>Hoja1!B24*Hoja1!C24</f>
        <v>3992</v>
      </c>
      <c r="B9">
        <f>Hoja1!B24*Hoja1!C24</f>
        <v>3992</v>
      </c>
      <c r="C9">
        <f>Hoja1!B24*Hoja1!D24</f>
        <v>970</v>
      </c>
      <c r="D9">
        <f>Hoja1!B24*Hoja1!D24</f>
        <v>970</v>
      </c>
    </row>
    <row r="10" spans="1:4" x14ac:dyDescent="0.2">
      <c r="A10">
        <f>Hoja1!B25*Hoja1!C25</f>
        <v>5824</v>
      </c>
      <c r="B10">
        <f>Hoja1!B25*Hoja1!C25</f>
        <v>5824</v>
      </c>
      <c r="C10">
        <f>Hoja1!B25*Hoja1!D25</f>
        <v>3520</v>
      </c>
      <c r="D10">
        <f>Hoja1!B25*Hoja1!D25</f>
        <v>3520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2025-04-15T17:58:31Z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