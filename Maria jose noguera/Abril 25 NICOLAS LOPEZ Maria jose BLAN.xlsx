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ria jose noguera\"/>
    </mc:Choice>
  </mc:AlternateContent>
  <xr:revisionPtr revIDLastSave="0" documentId="13_ncr:1_{6C18ACC5-A8CE-4CFC-8C18-C81127AEB8C1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<sst xmlns="http://schemas.openxmlformats.org/spreadsheetml/2006/main" count="66" uniqueCount="40">
  <si>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</si>
  <si>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</si>
  <si>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</si>
  <si>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</si>
  <si>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</si>
  <si>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</si>
  <si>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</si>
  <si>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</si>
  <si>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</si>
  <si>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</si>
  <si>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</si>
  <si>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</si>
  <si>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</si>
  <si>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</si>
  <si>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</si>
  <si>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</si>
  <si>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</si>
  <si>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</si>
  <si>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</si>
  <si>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</si>
  <si>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</si>
  <si>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</si>
  <si>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</si>
  <si>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</si>
  <si>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</si>
  <si>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</si>
  <si>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</si>
  <si>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</si>
  <si>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</si>
  <si>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1</t>
  </si>
  <si>
    <t xml:space="preserve">lateral </t>
  </si>
  <si>
    <t>puertas</t>
  </si>
  <si>
    <t>zocalo</t>
  </si>
  <si>
    <t>lat cajon</t>
  </si>
  <si>
    <t>lat 1</t>
  </si>
  <si>
    <t>lat infe</t>
  </si>
  <si>
    <t>lat sup</t>
  </si>
  <si>
    <t>base cajone</t>
  </si>
  <si>
    <t>estante1</t>
  </si>
  <si>
    <t>tapa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</si>
</sst>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F19" sqref="F1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495.13400000000001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64.270499999999998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1387</v>
      </c>
      <c r="D16" s="24">
        <v>495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2.774</v>
      </c>
      <c r="Q16">
        <v>1</v>
      </c>
      <c r="R16" s="34">
        <f>((SUMIF(G16:G1016,D3,Hoja3!A1:A1001)+SUMIF(H16:H1016,D3,Hoja3!B1:B1001)+SUMIF(I16:I1016,D3,Hoja3!C1:C1001)+SUMIF(J16:J1016,D3,Hoja3!D1:D1001))/1000)*1.05</f>
        <v>64.270499999999998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3</v>
      </c>
      <c r="C17" s="23">
        <v>1964</v>
      </c>
      <c r="D17" s="24">
        <v>495</v>
      </c>
      <c r="E17" s="25" t="s">
        <v>34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5.8920000000000003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4</v>
      </c>
      <c r="C18" s="23">
        <v>1964</v>
      </c>
      <c r="D18" s="24">
        <v>70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7.8559999999999999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1080</v>
      </c>
      <c r="D19" s="24">
        <v>400</v>
      </c>
      <c r="E19" s="25" t="s">
        <v>36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2.16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848</v>
      </c>
      <c r="D20" s="24">
        <v>400</v>
      </c>
      <c r="E20" s="25" t="s">
        <v>35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1.696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400</v>
      </c>
      <c r="D21" s="24">
        <v>420</v>
      </c>
      <c r="E21" s="25" t="s">
        <v>37</v>
      </c>
      <c r="F21" s="25"/>
      <c r="G21" s="37">
        <v>1</v>
      </c>
      <c r="H21" s="37"/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2.48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364</v>
      </c>
      <c r="D22" s="24">
        <v>400</v>
      </c>
      <c r="E22" s="25" t="s">
        <v>38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1.456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396</v>
      </c>
      <c r="D23" s="24">
        <v>200</v>
      </c>
      <c r="E23" s="25" t="s">
        <v>39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2.3839999999999999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4</v>
      </c>
      <c r="C24" s="23">
        <v>337</v>
      </c>
      <c r="D24" s="24">
        <v>150</v>
      </c>
      <c r="E24" s="25" t="s">
        <v>33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2.548</v>
      </c>
      <c r="R24" s="38">
        <f>SUM(R16:R23)</f>
        <v>64.270499999999998</v>
      </c>
      <c r="S24" s="39" t="s">
        <v>27</v>
      </c>
    </row>
    <row r="25" spans="1:19" x14ac:dyDescent="0.2">
      <c r="A25" s="21" t="s">
        <v>26</v>
      </c>
      <c r="B25" s="22">
        <v>4</v>
      </c>
      <c r="C25" s="23">
        <v>314</v>
      </c>
      <c r="D25" s="24">
        <v>150</v>
      </c>
      <c r="E25" s="25" t="s">
        <v>33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2.512</v>
      </c>
    </row>
    <row r="26" spans="1:19" x14ac:dyDescent="0.2">
      <c r="A26" s="21" t="s">
        <v>26</v>
      </c>
      <c r="B26" s="22">
        <v>2</v>
      </c>
      <c r="C26" s="23">
        <v>1795</v>
      </c>
      <c r="D26" s="24">
        <v>70</v>
      </c>
      <c r="E26" s="25" t="s">
        <v>32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 t="s">
        <v>26</v>
      </c>
      <c r="B27" s="22">
        <v>2</v>
      </c>
      <c r="C27" s="23">
        <v>980</v>
      </c>
      <c r="D27" s="24">
        <v>70</v>
      </c>
      <c r="E27" s="25" t="s">
        <v>32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 t="s">
        <v>26</v>
      </c>
      <c r="B28" s="22">
        <v>4</v>
      </c>
      <c r="C28" s="23">
        <v>400</v>
      </c>
      <c r="D28" s="24">
        <v>70</v>
      </c>
      <c r="E28" s="25" t="s">
        <v>32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 t="s">
        <v>26</v>
      </c>
      <c r="B29" s="22">
        <v>4</v>
      </c>
      <c r="C29" s="23">
        <v>485</v>
      </c>
      <c r="D29" s="24">
        <v>1996</v>
      </c>
      <c r="E29" s="25" t="s">
        <v>31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19.847999999999999</v>
      </c>
    </row>
    <row r="30" spans="1:19" x14ac:dyDescent="0.2">
      <c r="A30" s="21" t="s">
        <v>26</v>
      </c>
      <c r="B30" s="22">
        <v>2</v>
      </c>
      <c r="C30" s="23">
        <v>405</v>
      </c>
      <c r="D30" s="24">
        <v>1996</v>
      </c>
      <c r="E30" s="25" t="s">
        <v>31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9.6039999999999992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2774</v>
      </c>
      <c r="B1">
        <f>Hoja1!B16*Hoja1!C16</f>
        <v>2774</v>
      </c>
      <c r="C1">
        <f>Hoja1!B16*Hoja1!D16</f>
        <v>990</v>
      </c>
      <c r="D1">
        <f>Hoja1!B16*Hoja1!D16</f>
        <v>990</v>
      </c>
    </row>
    <row r="2" spans="1:4" x14ac:dyDescent="0.2">
      <c r="A2">
        <f>Hoja1!B17*Hoja1!C17</f>
        <v>5892</v>
      </c>
      <c r="B2">
        <f>Hoja1!B17*Hoja1!C17</f>
        <v>5892</v>
      </c>
      <c r="C2">
        <f>Hoja1!B17*Hoja1!D17</f>
        <v>1485</v>
      </c>
      <c r="D2">
        <f>Hoja1!B17*Hoja1!D17</f>
        <v>1485</v>
      </c>
    </row>
    <row r="3" spans="1:4" x14ac:dyDescent="0.2">
      <c r="A3">
        <f>Hoja1!B18*Hoja1!C18</f>
        <v>7856</v>
      </c>
      <c r="B3">
        <f>Hoja1!B18*Hoja1!C18</f>
        <v>7856</v>
      </c>
      <c r="C3">
        <f>Hoja1!B18*Hoja1!D18</f>
        <v>280</v>
      </c>
      <c r="D3">
        <f>Hoja1!B18*Hoja1!D18</f>
        <v>280</v>
      </c>
    </row>
    <row r="4" spans="1:4" x14ac:dyDescent="0.2">
      <c r="A4">
        <f>Hoja1!B19*Hoja1!C19</f>
        <v>2160</v>
      </c>
      <c r="B4">
        <f>Hoja1!B19*Hoja1!C19</f>
        <v>2160</v>
      </c>
      <c r="C4">
        <f>Hoja1!B19*Hoja1!D19</f>
        <v>800</v>
      </c>
      <c r="D4">
        <f>Hoja1!B19*Hoja1!D19</f>
        <v>800</v>
      </c>
    </row>
    <row r="5" spans="1:4" x14ac:dyDescent="0.2">
      <c r="A5">
        <f>Hoja1!B20*Hoja1!C20</f>
        <v>1696</v>
      </c>
      <c r="B5">
        <f>Hoja1!B20*Hoja1!C20</f>
        <v>1696</v>
      </c>
      <c r="C5">
        <f>Hoja1!B20*Hoja1!D20</f>
        <v>800</v>
      </c>
      <c r="D5">
        <f>Hoja1!B20*Hoja1!D20</f>
        <v>800</v>
      </c>
    </row>
    <row r="6" spans="1:4" x14ac:dyDescent="0.2">
      <c r="A6">
        <f>Hoja1!B21*Hoja1!C21</f>
        <v>800</v>
      </c>
      <c r="B6">
        <f>Hoja1!B21*Hoja1!C21</f>
        <v>800</v>
      </c>
      <c r="C6">
        <f>Hoja1!B21*Hoja1!D21</f>
        <v>840</v>
      </c>
      <c r="D6">
        <f>Hoja1!B21*Hoja1!D21</f>
        <v>840</v>
      </c>
    </row>
    <row r="7" spans="1:4" x14ac:dyDescent="0.2">
      <c r="A7">
        <f>Hoja1!B22*Hoja1!C22</f>
        <v>1456</v>
      </c>
      <c r="B7">
        <f>Hoja1!B22*Hoja1!C22</f>
        <v>1456</v>
      </c>
      <c r="C7">
        <f>Hoja1!B22*Hoja1!D22</f>
        <v>1600</v>
      </c>
      <c r="D7">
        <f>Hoja1!B22*Hoja1!D22</f>
        <v>1600</v>
      </c>
    </row>
    <row r="8" spans="1:4" x14ac:dyDescent="0.2">
      <c r="A8">
        <f>Hoja1!B23*Hoja1!C23</f>
        <v>792</v>
      </c>
      <c r="B8">
        <f>Hoja1!B23*Hoja1!C23</f>
        <v>792</v>
      </c>
      <c r="C8">
        <f>Hoja1!B23*Hoja1!D23</f>
        <v>400</v>
      </c>
      <c r="D8">
        <f>Hoja1!B23*Hoja1!D23</f>
        <v>400</v>
      </c>
    </row>
    <row r="9" spans="1:4" x14ac:dyDescent="0.2">
      <c r="A9">
        <f>Hoja1!B24*Hoja1!C24</f>
        <v>1348</v>
      </c>
      <c r="B9">
        <f>Hoja1!B24*Hoja1!C24</f>
        <v>1348</v>
      </c>
      <c r="C9">
        <f>Hoja1!B24*Hoja1!D24</f>
        <v>600</v>
      </c>
      <c r="D9">
        <f>Hoja1!B24*Hoja1!D24</f>
        <v>600</v>
      </c>
    </row>
    <row r="10" spans="1:4" x14ac:dyDescent="0.2">
      <c r="A10">
        <f>Hoja1!B25*Hoja1!C25</f>
        <v>1256</v>
      </c>
      <c r="B10">
        <f>Hoja1!B25*Hoja1!C25</f>
        <v>1256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3590</v>
      </c>
      <c r="B11">
        <f>Hoja1!B26*Hoja1!C26</f>
        <v>3590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1960</v>
      </c>
      <c r="B12">
        <f>Hoja1!B27*Hoja1!C27</f>
        <v>1960</v>
      </c>
      <c r="C12">
        <f>Hoja1!B27*Hoja1!D27</f>
        <v>140</v>
      </c>
      <c r="D12">
        <f>Hoja1!B27*Hoja1!D27</f>
        <v>140</v>
      </c>
    </row>
    <row r="13" spans="1:4" x14ac:dyDescent="0.2">
      <c r="A13">
        <f>Hoja1!B28*Hoja1!C28</f>
        <v>1600</v>
      </c>
      <c r="B13">
        <f>Hoja1!B28*Hoja1!C28</f>
        <v>1600</v>
      </c>
      <c r="C13">
        <f>Hoja1!B28*Hoja1!D28</f>
        <v>280</v>
      </c>
      <c r="D13">
        <f>Hoja1!B28*Hoja1!D28</f>
        <v>280</v>
      </c>
    </row>
    <row r="14" spans="1:4" x14ac:dyDescent="0.2">
      <c r="A14">
        <f>Hoja1!B29*Hoja1!C29</f>
        <v>1940</v>
      </c>
      <c r="B14">
        <f>Hoja1!B29*Hoja1!C29</f>
        <v>1940</v>
      </c>
      <c r="C14">
        <f>Hoja1!B29*Hoja1!D29</f>
        <v>7984</v>
      </c>
      <c r="D14">
        <f>Hoja1!B29*Hoja1!D29</f>
        <v>7984</v>
      </c>
    </row>
    <row r="15" spans="1:4" x14ac:dyDescent="0.2">
      <c r="A15">
        <f>Hoja1!B30*Hoja1!C30</f>
        <v>810</v>
      </c>
      <c r="B15">
        <f>Hoja1!B30*Hoja1!C30</f>
        <v>810</v>
      </c>
      <c r="C15">
        <f>Hoja1!B30*Hoja1!D30</f>
        <v>3992</v>
      </c>
      <c r="D15">
        <f>Hoja1!B30*Hoja1!D30</f>
        <v>3992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2025-04-25T14:17:14Z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