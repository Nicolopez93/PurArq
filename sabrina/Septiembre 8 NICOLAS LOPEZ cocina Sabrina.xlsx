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sabrina\"/>
    </mc:Choice>
  </mc:AlternateContent>
  <xr:revisionPtr revIDLastSave="0" documentId="13_ncr:1_{90615E36-EDDC-4399-9E07-558DF43F3454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<sst xmlns="http://schemas.openxmlformats.org/spreadsheetml/2006/main" count="74" uniqueCount="47">
  <si>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</si>
  <si>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</si>
  <si>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</si>
  <si>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</si>
  <si>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</si>
  <si>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</si>
  <si>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</si>
  <si>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</si>
  <si>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</si>
  <si>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</si>
  <si>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</si>
  <si>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</si>
  <si>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</si>
  <si>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</si>
  <si>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</si>
  <si>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</si>
  <si>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</si>
  <si>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</si>
  <si>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</si>
  <si>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</si>
  <si>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</si>
  <si>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</si>
  <si>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</si>
  <si>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</si>
  <si>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</si>
  <si>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</si>
  <si>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</si>
  <si>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</si>
  <si>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</si>
  <si>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base1</t>
  </si>
  <si>
    <t>base2</t>
  </si>
  <si>
    <t>base3</t>
  </si>
  <si>
    <t>soporte 2</t>
  </si>
  <si>
    <t>lat mue</t>
  </si>
  <si>
    <t>estante1</t>
  </si>
  <si>
    <t>puerta1</t>
  </si>
  <si>
    <t>puerta2</t>
  </si>
  <si>
    <t>manija esco</t>
  </si>
  <si>
    <t>estante sup</t>
  </si>
  <si>
    <t>lat mueb</t>
  </si>
  <si>
    <t>lat sup</t>
  </si>
  <si>
    <t>lat alace</t>
  </si>
  <si>
    <t>estante 2</t>
  </si>
  <si>
    <t>puerta 1 sup</t>
  </si>
  <si>
    <t>puerta alace</t>
  </si>
  <si>
    <t>estante alace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</si>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</sst>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3" zoomScale="130" zoomScaleNormal="130" workbookViewId="0">
      <selection activeCell="B36" sqref="B3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625.69200000000001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51.151800000000009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4</v>
      </c>
      <c r="C16" s="23">
        <v>486</v>
      </c>
      <c r="D16" s="24">
        <v>580</v>
      </c>
      <c r="E16" s="25" t="s">
        <v>29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4.2640000000000002</v>
      </c>
      <c r="Q16">
        <v>1</v>
      </c>
      <c r="R16" s="34">
        <f>((SUMIF(G16:G1016,D3,Hoja3!A1:A1001)+SUMIF(H16:H1016,D3,Hoja3!B1:B1001)+SUMIF(I16:I1016,D3,Hoja3!C1:C1001)+SUMIF(J16:J1016,D3,Hoja3!D1:D1001))/1000)*1.05</f>
        <v>51.151800000000001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760</v>
      </c>
      <c r="D17" s="24">
        <v>580</v>
      </c>
      <c r="E17" s="25" t="s">
        <v>30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2.68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4</v>
      </c>
      <c r="C18" s="23">
        <v>760</v>
      </c>
      <c r="D18" s="24">
        <v>300</v>
      </c>
      <c r="E18" s="25" t="s">
        <v>31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4.24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3</v>
      </c>
      <c r="C19" s="23">
        <v>450</v>
      </c>
      <c r="D19" s="24">
        <v>300</v>
      </c>
      <c r="E19" s="25" t="s">
        <v>34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1.35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724</v>
      </c>
      <c r="D20" s="24">
        <v>120</v>
      </c>
      <c r="E20" s="25" t="s">
        <v>32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1.448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1</v>
      </c>
      <c r="C21" s="23">
        <v>450</v>
      </c>
      <c r="D21" s="24">
        <v>580</v>
      </c>
      <c r="E21" s="25" t="s">
        <v>38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0.45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4</v>
      </c>
      <c r="C22" s="23">
        <v>742</v>
      </c>
      <c r="D22" s="24">
        <v>580</v>
      </c>
      <c r="E22" s="25" t="s">
        <v>33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2.968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1355</v>
      </c>
      <c r="D23" s="24">
        <v>580</v>
      </c>
      <c r="E23" s="25" t="s">
        <v>39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2.71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553</v>
      </c>
      <c r="D24" s="24">
        <v>580</v>
      </c>
      <c r="E24" s="25" t="s">
        <v>40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1.1060000000000001</v>
      </c>
      <c r="R24" s="38">
        <f>SUM(R16:R23)</f>
        <v>51.151800000000001</v>
      </c>
      <c r="S24" s="39" t="s">
        <v>27</v>
      </c>
    </row>
    <row r="25" spans="1:19" x14ac:dyDescent="0.2">
      <c r="A25" s="21" t="s">
        <v>26</v>
      </c>
      <c r="B25" s="22">
        <v>4</v>
      </c>
      <c r="C25" s="23">
        <v>533</v>
      </c>
      <c r="D25" s="24">
        <v>300</v>
      </c>
      <c r="E25" s="25" t="s">
        <v>41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2.1320000000000001</v>
      </c>
    </row>
    <row r="26" spans="1:19" x14ac:dyDescent="0.2">
      <c r="A26" s="21" t="s">
        <v>26</v>
      </c>
      <c r="B26" s="22">
        <v>2</v>
      </c>
      <c r="C26" s="23">
        <v>724</v>
      </c>
      <c r="D26" s="24">
        <v>580</v>
      </c>
      <c r="E26" s="25" t="s">
        <v>42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1.448</v>
      </c>
    </row>
    <row r="27" spans="1:19" x14ac:dyDescent="0.2">
      <c r="A27" s="21" t="s">
        <v>26</v>
      </c>
      <c r="B27" s="22">
        <v>1</v>
      </c>
      <c r="C27" s="23">
        <v>1387</v>
      </c>
      <c r="D27" s="24">
        <v>482</v>
      </c>
      <c r="E27" s="25" t="s">
        <v>35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3.738</v>
      </c>
    </row>
    <row r="28" spans="1:19" x14ac:dyDescent="0.2">
      <c r="A28" s="21" t="s">
        <v>26</v>
      </c>
      <c r="B28" s="22">
        <v>4</v>
      </c>
      <c r="C28" s="23">
        <v>738</v>
      </c>
      <c r="D28" s="24">
        <v>376</v>
      </c>
      <c r="E28" s="25" t="s">
        <v>36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8.9120000000000008</v>
      </c>
    </row>
    <row r="29" spans="1:19" x14ac:dyDescent="0.2">
      <c r="A29" s="21" t="s">
        <v>26</v>
      </c>
      <c r="B29" s="22">
        <v>1</v>
      </c>
      <c r="C29" s="23">
        <v>585</v>
      </c>
      <c r="D29" s="24">
        <v>482</v>
      </c>
      <c r="E29" s="25" t="s">
        <v>43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2.1339999999999999</v>
      </c>
    </row>
    <row r="30" spans="1:19" x14ac:dyDescent="0.2">
      <c r="A30" s="21" t="s">
        <v>26</v>
      </c>
      <c r="B30" s="22">
        <v>4</v>
      </c>
      <c r="C30" s="23">
        <v>585</v>
      </c>
      <c r="D30" s="24">
        <v>376</v>
      </c>
      <c r="E30" s="25" t="s">
        <v>44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7.6879999999999997</v>
      </c>
    </row>
    <row r="31" spans="1:19" x14ac:dyDescent="0.2">
      <c r="A31" s="21" t="s">
        <v>26</v>
      </c>
      <c r="B31" s="22">
        <v>2</v>
      </c>
      <c r="C31" s="23">
        <v>724</v>
      </c>
      <c r="D31" s="24">
        <v>300</v>
      </c>
      <c r="E31" s="25" t="s">
        <v>45</v>
      </c>
      <c r="F31" s="25"/>
      <c r="G31" s="37">
        <v>1</v>
      </c>
      <c r="H31" s="37"/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1.448</v>
      </c>
    </row>
    <row r="32" spans="1:19" x14ac:dyDescent="0.2">
      <c r="A32" s="21" t="s">
        <v>26</v>
      </c>
      <c r="B32" s="22">
        <v>4</v>
      </c>
      <c r="C32" s="23">
        <v>724</v>
      </c>
      <c r="D32" s="24">
        <v>40</v>
      </c>
      <c r="E32" s="25" t="s">
        <v>37</v>
      </c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 t="s">
        <v>26</v>
      </c>
      <c r="B33" s="22">
        <v>2</v>
      </c>
      <c r="C33" s="23">
        <v>486</v>
      </c>
      <c r="D33" s="24">
        <v>70</v>
      </c>
      <c r="E33" s="25" t="s">
        <v>46</v>
      </c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 t="s">
        <v>26</v>
      </c>
      <c r="B34" s="22">
        <v>2</v>
      </c>
      <c r="C34" s="23">
        <v>1520</v>
      </c>
      <c r="D34" s="24">
        <v>70</v>
      </c>
      <c r="E34" s="25" t="s">
        <v>46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 t="s">
        <v>26</v>
      </c>
      <c r="B35" s="22">
        <v>4</v>
      </c>
      <c r="C35" s="23">
        <v>482</v>
      </c>
      <c r="D35" s="24">
        <v>70</v>
      </c>
      <c r="E35" s="25" t="s">
        <v>46</v>
      </c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1944</v>
      </c>
      <c r="B1">
        <f>Hoja1!B16*Hoja1!C16</f>
        <v>1944</v>
      </c>
      <c r="C1">
        <f>Hoja1!B16*Hoja1!D16</f>
        <v>2320</v>
      </c>
      <c r="D1">
        <f>Hoja1!B16*Hoja1!D16</f>
        <v>2320</v>
      </c>
    </row>
    <row r="2" spans="1:4" x14ac:dyDescent="0.2">
      <c r="A2">
        <f>Hoja1!B17*Hoja1!C17</f>
        <v>1520</v>
      </c>
      <c r="B2">
        <f>Hoja1!B17*Hoja1!C17</f>
        <v>1520</v>
      </c>
      <c r="C2">
        <f>Hoja1!B17*Hoja1!D17</f>
        <v>1160</v>
      </c>
      <c r="D2">
        <f>Hoja1!B17*Hoja1!D17</f>
        <v>1160</v>
      </c>
    </row>
    <row r="3" spans="1:4" x14ac:dyDescent="0.2">
      <c r="A3">
        <f>Hoja1!B18*Hoja1!C18</f>
        <v>3040</v>
      </c>
      <c r="B3">
        <f>Hoja1!B18*Hoja1!C18</f>
        <v>3040</v>
      </c>
      <c r="C3">
        <f>Hoja1!B18*Hoja1!D18</f>
        <v>1200</v>
      </c>
      <c r="D3">
        <f>Hoja1!B18*Hoja1!D18</f>
        <v>1200</v>
      </c>
    </row>
    <row r="4" spans="1:4" x14ac:dyDescent="0.2">
      <c r="A4">
        <f>Hoja1!B19*Hoja1!C19</f>
        <v>1350</v>
      </c>
      <c r="B4">
        <f>Hoja1!B19*Hoja1!C19</f>
        <v>1350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1448</v>
      </c>
      <c r="B5">
        <f>Hoja1!B20*Hoja1!C20</f>
        <v>1448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450</v>
      </c>
      <c r="B6">
        <f>Hoja1!B21*Hoja1!C21</f>
        <v>450</v>
      </c>
      <c r="C6">
        <f>Hoja1!B21*Hoja1!D21</f>
        <v>580</v>
      </c>
      <c r="D6">
        <f>Hoja1!B21*Hoja1!D21</f>
        <v>580</v>
      </c>
    </row>
    <row r="7" spans="1:4" x14ac:dyDescent="0.2">
      <c r="A7">
        <f>Hoja1!B22*Hoja1!C22</f>
        <v>2968</v>
      </c>
      <c r="B7">
        <f>Hoja1!B22*Hoja1!C22</f>
        <v>2968</v>
      </c>
      <c r="C7">
        <f>Hoja1!B22*Hoja1!D22</f>
        <v>2320</v>
      </c>
      <c r="D7">
        <f>Hoja1!B22*Hoja1!D22</f>
        <v>2320</v>
      </c>
    </row>
    <row r="8" spans="1:4" x14ac:dyDescent="0.2">
      <c r="A8">
        <f>Hoja1!B23*Hoja1!C23</f>
        <v>2710</v>
      </c>
      <c r="B8">
        <f>Hoja1!B23*Hoja1!C23</f>
        <v>2710</v>
      </c>
      <c r="C8">
        <f>Hoja1!B23*Hoja1!D23</f>
        <v>1160</v>
      </c>
      <c r="D8">
        <f>Hoja1!B23*Hoja1!D23</f>
        <v>1160</v>
      </c>
    </row>
    <row r="9" spans="1:4" x14ac:dyDescent="0.2">
      <c r="A9">
        <f>Hoja1!B24*Hoja1!C24</f>
        <v>1106</v>
      </c>
      <c r="B9">
        <f>Hoja1!B24*Hoja1!C24</f>
        <v>1106</v>
      </c>
      <c r="C9">
        <f>Hoja1!B24*Hoja1!D24</f>
        <v>1160</v>
      </c>
      <c r="D9">
        <f>Hoja1!B24*Hoja1!D24</f>
        <v>1160</v>
      </c>
    </row>
    <row r="10" spans="1:4" x14ac:dyDescent="0.2">
      <c r="A10">
        <f>Hoja1!B25*Hoja1!C25</f>
        <v>2132</v>
      </c>
      <c r="B10">
        <f>Hoja1!B25*Hoja1!C25</f>
        <v>2132</v>
      </c>
      <c r="C10">
        <f>Hoja1!B25*Hoja1!D25</f>
        <v>1200</v>
      </c>
      <c r="D10">
        <f>Hoja1!B25*Hoja1!D25</f>
        <v>1200</v>
      </c>
    </row>
    <row r="11" spans="1:4" x14ac:dyDescent="0.2">
      <c r="A11">
        <f>Hoja1!B26*Hoja1!C26</f>
        <v>1448</v>
      </c>
      <c r="B11">
        <f>Hoja1!B26*Hoja1!C26</f>
        <v>1448</v>
      </c>
      <c r="C11">
        <f>Hoja1!B26*Hoja1!D26</f>
        <v>1160</v>
      </c>
      <c r="D11">
        <f>Hoja1!B26*Hoja1!D26</f>
        <v>1160</v>
      </c>
    </row>
    <row r="12" spans="1:4" x14ac:dyDescent="0.2">
      <c r="A12">
        <f>Hoja1!B27*Hoja1!C27</f>
        <v>1387</v>
      </c>
      <c r="B12">
        <f>Hoja1!B27*Hoja1!C27</f>
        <v>1387</v>
      </c>
      <c r="C12">
        <f>Hoja1!B27*Hoja1!D27</f>
        <v>482</v>
      </c>
      <c r="D12">
        <f>Hoja1!B27*Hoja1!D27</f>
        <v>482</v>
      </c>
    </row>
    <row r="13" spans="1:4" x14ac:dyDescent="0.2">
      <c r="A13">
        <f>Hoja1!B28*Hoja1!C28</f>
        <v>2952</v>
      </c>
      <c r="B13">
        <f>Hoja1!B28*Hoja1!C28</f>
        <v>2952</v>
      </c>
      <c r="C13">
        <f>Hoja1!B28*Hoja1!D28</f>
        <v>1504</v>
      </c>
      <c r="D13">
        <f>Hoja1!B28*Hoja1!D28</f>
        <v>1504</v>
      </c>
    </row>
    <row r="14" spans="1:4" x14ac:dyDescent="0.2">
      <c r="A14">
        <f>Hoja1!B29*Hoja1!C29</f>
        <v>585</v>
      </c>
      <c r="B14">
        <f>Hoja1!B29*Hoja1!C29</f>
        <v>585</v>
      </c>
      <c r="C14">
        <f>Hoja1!B29*Hoja1!D29</f>
        <v>482</v>
      </c>
      <c r="D14">
        <f>Hoja1!B29*Hoja1!D29</f>
        <v>482</v>
      </c>
    </row>
    <row r="15" spans="1:4" x14ac:dyDescent="0.2">
      <c r="A15">
        <f>Hoja1!B30*Hoja1!C30</f>
        <v>2340</v>
      </c>
      <c r="B15">
        <f>Hoja1!B30*Hoja1!C30</f>
        <v>2340</v>
      </c>
      <c r="C15">
        <f>Hoja1!B30*Hoja1!D30</f>
        <v>1504</v>
      </c>
      <c r="D15">
        <f>Hoja1!B30*Hoja1!D30</f>
        <v>1504</v>
      </c>
    </row>
    <row r="16" spans="1:4" x14ac:dyDescent="0.2">
      <c r="A16">
        <f>Hoja1!B31*Hoja1!C31</f>
        <v>1448</v>
      </c>
      <c r="B16">
        <f>Hoja1!B31*Hoja1!C31</f>
        <v>1448</v>
      </c>
      <c r="C16">
        <f>Hoja1!B31*Hoja1!D31</f>
        <v>600</v>
      </c>
      <c r="D16">
        <f>Hoja1!B31*Hoja1!D31</f>
        <v>600</v>
      </c>
    </row>
    <row r="17" spans="1:4" x14ac:dyDescent="0.2">
      <c r="A17">
        <f>Hoja1!B32*Hoja1!C32</f>
        <v>2896</v>
      </c>
      <c r="B17">
        <f>Hoja1!B32*Hoja1!C32</f>
        <v>2896</v>
      </c>
      <c r="C17">
        <f>Hoja1!B32*Hoja1!D32</f>
        <v>160</v>
      </c>
      <c r="D17">
        <f>Hoja1!B32*Hoja1!D32</f>
        <v>160</v>
      </c>
    </row>
    <row r="18" spans="1:4" x14ac:dyDescent="0.2">
      <c r="A18">
        <f>Hoja1!B33*Hoja1!C33</f>
        <v>972</v>
      </c>
      <c r="B18">
        <f>Hoja1!B33*Hoja1!C33</f>
        <v>972</v>
      </c>
      <c r="C18">
        <f>Hoja1!B33*Hoja1!D33</f>
        <v>140</v>
      </c>
      <c r="D18">
        <f>Hoja1!B33*Hoja1!D33</f>
        <v>140</v>
      </c>
    </row>
    <row r="19" spans="1:4" x14ac:dyDescent="0.2">
      <c r="A19">
        <f>Hoja1!B34*Hoja1!C34</f>
        <v>3040</v>
      </c>
      <c r="B19">
        <f>Hoja1!B34*Hoja1!C34</f>
        <v>3040</v>
      </c>
      <c r="C19">
        <f>Hoja1!B34*Hoja1!D34</f>
        <v>140</v>
      </c>
      <c r="D19">
        <f>Hoja1!B34*Hoja1!D34</f>
        <v>140</v>
      </c>
    </row>
    <row r="20" spans="1:4" x14ac:dyDescent="0.2">
      <c r="A20">
        <f>Hoja1!B35*Hoja1!C35</f>
        <v>1928</v>
      </c>
      <c r="B20">
        <f>Hoja1!B35*Hoja1!C35</f>
        <v>1928</v>
      </c>
      <c r="C20">
        <f>Hoja1!B35*Hoja1!D35</f>
        <v>280</v>
      </c>
      <c r="D20">
        <f>Hoja1!B35*Hoja1!D35</f>
        <v>280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2025-09-09T02:43:11Z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