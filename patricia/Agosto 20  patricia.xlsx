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tricia\"/>
    </mc:Choice>
  </mc:AlternateContent>
  <xr:revisionPtr revIDLastSave="0" documentId="13_ncr:1_{4335A786-0036-4973-A2CF-5251B94457A2}" xr6:coauthVersionLast="47" xr6:coauthVersionMax="47" xr10:uidLastSave="{00000000-0000-0000-0000-000000000000}"/>
  <bookViews>
    <workbookView xWindow="-20490" yWindow="495" windowWidth="21600" windowHeight="11385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<sst xmlns="http://schemas.openxmlformats.org/spreadsheetml/2006/main" count="56" uniqueCount="36">
  <si>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</si>
  <si>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</si>
  <si>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</si>
  <si>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</si>
  <si>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</si>
  <si>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</si>
  <si>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</si>
  <si>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</si>
  <si>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</si>
  <si>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</si>
  <si>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</si>
  <si>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</si>
  <si>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</si>
  <si>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</si>
  <si>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</si>
  <si>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</si>
  <si>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</si>
  <si>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</si>
  <si>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</si>
  <si>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</si>
  <si>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</si>
  <si>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</si>
  <si>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</si>
  <si>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</si>
  <si>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</si>
  <si>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</si>
  <si>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</si>
  <si>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</si>
  <si>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</si>
  <si>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cajon</t>
  </si>
  <si>
    <t>lat int cajon</t>
  </si>
  <si>
    <t>tapa cajon</t>
  </si>
  <si>
    <t>2mm blanco</t>
  </si>
  <si>
    <t>tapa 1 izquierda</t>
  </si>
  <si>
    <t>tapas puerta</t>
  </si>
  <si>
    <t>tapas isla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</si>
</sst>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J26" sqref="J2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96.474000000000004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32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136.70400000000001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53.558400000000006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639</v>
      </c>
      <c r="D16" s="24">
        <v>560</v>
      </c>
      <c r="E16" s="25" t="s">
        <v>29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1.278</v>
      </c>
      <c r="Q16">
        <v>1</v>
      </c>
      <c r="R16" s="34">
        <f>((SUMIF(G16:G1016,D3,Hoja3!A1:A1001)+SUMIF(H16:H1016,D3,Hoja3!B1:B1001)+SUMIF(I16:I1016,D3,Hoja3!C1:C1001)+SUMIF(J16:J1016,D3,Hoja3!D1:D1001))/1000)*1.05</f>
        <v>24.368399999999998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6</v>
      </c>
      <c r="C17" s="23">
        <v>825</v>
      </c>
      <c r="D17" s="24">
        <v>150</v>
      </c>
      <c r="E17" s="25" t="s">
        <v>30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6.75</v>
      </c>
      <c r="Q17">
        <v>2</v>
      </c>
      <c r="R17" s="34">
        <f>((SUMIF(G16:G1016,D4,Hoja3!A1:A1001)+SUMIF(H16:H1016,D4,Hoja3!B1:B1001)+SUMIF(I16:I1016,D4,Hoja3!C1:C1001)+SUMIF(J16:J1016,D4,Hoja3!D1:D1001))/1000)*1.05</f>
        <v>29.19</v>
      </c>
      <c r="S17" s="35" t="str">
        <f t="shared" si="1"/>
        <v>2mm blanco</v>
      </c>
    </row>
    <row r="18" spans="1:19" ht="15.75" x14ac:dyDescent="0.25">
      <c r="A18" s="21" t="s">
        <v>26</v>
      </c>
      <c r="B18" s="22">
        <v>6</v>
      </c>
      <c r="C18" s="23">
        <v>514</v>
      </c>
      <c r="D18" s="24">
        <v>150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6.1680000000000001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158</v>
      </c>
      <c r="D19" s="24">
        <v>880</v>
      </c>
      <c r="E19" s="25" t="s">
        <v>31</v>
      </c>
      <c r="F19" s="25"/>
      <c r="G19" s="36">
        <v>2</v>
      </c>
      <c r="H19" s="36">
        <v>2</v>
      </c>
      <c r="I19" s="36">
        <v>2</v>
      </c>
      <c r="J19" s="36">
        <v>2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blanco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blanco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blanco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blanco</v>
      </c>
      <c r="O19" s="33">
        <f t="shared" si="0"/>
        <v>4.1520000000000001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3</v>
      </c>
      <c r="C20" s="23">
        <v>324</v>
      </c>
      <c r="D20" s="24">
        <v>880</v>
      </c>
      <c r="E20" s="25" t="s">
        <v>31</v>
      </c>
      <c r="F20" s="25"/>
      <c r="G20" s="36">
        <v>2</v>
      </c>
      <c r="H20" s="36">
        <v>2</v>
      </c>
      <c r="I20" s="36">
        <v>2</v>
      </c>
      <c r="J20" s="36">
        <v>2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blanco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blanco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blanco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blanco</v>
      </c>
      <c r="O20" s="33">
        <f t="shared" si="0"/>
        <v>7.2240000000000002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1</v>
      </c>
      <c r="C21" s="23">
        <v>440</v>
      </c>
      <c r="D21" s="24">
        <v>660</v>
      </c>
      <c r="E21" s="25" t="s">
        <v>33</v>
      </c>
      <c r="F21" s="25"/>
      <c r="G21" s="37">
        <v>2</v>
      </c>
      <c r="H21" s="37">
        <v>2</v>
      </c>
      <c r="I21" s="37">
        <v>2</v>
      </c>
      <c r="J21" s="37">
        <v>2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blanco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blanco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blanco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blanco</v>
      </c>
      <c r="O21" s="33">
        <f t="shared" si="0"/>
        <v>2.2000000000000002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4</v>
      </c>
      <c r="C22" s="23">
        <v>542</v>
      </c>
      <c r="D22" s="24">
        <v>660</v>
      </c>
      <c r="E22" s="25" t="s">
        <v>34</v>
      </c>
      <c r="F22" s="25"/>
      <c r="G22" s="36">
        <v>2</v>
      </c>
      <c r="H22" s="36">
        <v>2</v>
      </c>
      <c r="I22" s="36">
        <v>2</v>
      </c>
      <c r="J22" s="36">
        <v>2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blanco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blanco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blanco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blanco</v>
      </c>
      <c r="O22" s="33">
        <f t="shared" si="0"/>
        <v>9.6159999999999997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492</v>
      </c>
      <c r="D23" s="24">
        <v>660</v>
      </c>
      <c r="E23" s="25" t="s">
        <v>35</v>
      </c>
      <c r="F23" s="25"/>
      <c r="G23" s="37">
        <v>2</v>
      </c>
      <c r="H23" s="37">
        <v>2</v>
      </c>
      <c r="I23" s="37">
        <v>2</v>
      </c>
      <c r="J23" s="37">
        <v>2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blanco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blanco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blanco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blanco</v>
      </c>
      <c r="O23" s="33">
        <f t="shared" si="0"/>
        <v>4.6079999999999997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4</v>
      </c>
      <c r="C24" s="23">
        <v>825</v>
      </c>
      <c r="D24" s="24">
        <v>200</v>
      </c>
      <c r="E24" s="25" t="s">
        <v>30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4.9000000000000004</v>
      </c>
      <c r="R24" s="38">
        <f>SUM(R16:R23)</f>
        <v>53.558399999999999</v>
      </c>
      <c r="S24" s="39" t="s">
        <v>27</v>
      </c>
    </row>
    <row r="25" spans="1:19" x14ac:dyDescent="0.2">
      <c r="A25" s="21" t="s">
        <v>26</v>
      </c>
      <c r="B25" s="22">
        <v>4</v>
      </c>
      <c r="C25" s="23">
        <v>514</v>
      </c>
      <c r="D25" s="24">
        <v>200</v>
      </c>
      <c r="E25" s="25" t="s">
        <v>30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4.1120000000000001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1278</v>
      </c>
      <c r="B1">
        <f>Hoja1!B16*Hoja1!C16</f>
        <v>1278</v>
      </c>
      <c r="C1">
        <f>Hoja1!B16*Hoja1!D16</f>
        <v>1120</v>
      </c>
      <c r="D1">
        <f>Hoja1!B16*Hoja1!D16</f>
        <v>1120</v>
      </c>
    </row>
    <row r="2" spans="1:4" x14ac:dyDescent="0.2">
      <c r="A2">
        <f>Hoja1!B17*Hoja1!C17</f>
        <v>4950</v>
      </c>
      <c r="B2">
        <f>Hoja1!B17*Hoja1!C17</f>
        <v>4950</v>
      </c>
      <c r="C2">
        <f>Hoja1!B17*Hoja1!D17</f>
        <v>900</v>
      </c>
      <c r="D2">
        <f>Hoja1!B17*Hoja1!D17</f>
        <v>900</v>
      </c>
    </row>
    <row r="3" spans="1:4" x14ac:dyDescent="0.2">
      <c r="A3">
        <f>Hoja1!B18*Hoja1!C18</f>
        <v>3084</v>
      </c>
      <c r="B3">
        <f>Hoja1!B18*Hoja1!C18</f>
        <v>3084</v>
      </c>
      <c r="C3">
        <f>Hoja1!B18*Hoja1!D18</f>
        <v>900</v>
      </c>
      <c r="D3">
        <f>Hoja1!B18*Hoja1!D18</f>
        <v>900</v>
      </c>
    </row>
    <row r="4" spans="1:4" x14ac:dyDescent="0.2">
      <c r="A4">
        <f>Hoja1!B19*Hoja1!C19</f>
        <v>316</v>
      </c>
      <c r="B4">
        <f>Hoja1!B19*Hoja1!C19</f>
        <v>316</v>
      </c>
      <c r="C4">
        <f>Hoja1!B19*Hoja1!D19</f>
        <v>1760</v>
      </c>
      <c r="D4">
        <f>Hoja1!B19*Hoja1!D19</f>
        <v>1760</v>
      </c>
    </row>
    <row r="5" spans="1:4" x14ac:dyDescent="0.2">
      <c r="A5">
        <f>Hoja1!B20*Hoja1!C20</f>
        <v>972</v>
      </c>
      <c r="B5">
        <f>Hoja1!B20*Hoja1!C20</f>
        <v>972</v>
      </c>
      <c r="C5">
        <f>Hoja1!B20*Hoja1!D20</f>
        <v>2640</v>
      </c>
      <c r="D5">
        <f>Hoja1!B20*Hoja1!D20</f>
        <v>2640</v>
      </c>
    </row>
    <row r="6" spans="1:4" x14ac:dyDescent="0.2">
      <c r="A6">
        <f>Hoja1!B21*Hoja1!C21</f>
        <v>440</v>
      </c>
      <c r="B6">
        <f>Hoja1!B21*Hoja1!C21</f>
        <v>440</v>
      </c>
      <c r="C6">
        <f>Hoja1!B21*Hoja1!D21</f>
        <v>660</v>
      </c>
      <c r="D6">
        <f>Hoja1!B21*Hoja1!D21</f>
        <v>660</v>
      </c>
    </row>
    <row r="7" spans="1:4" x14ac:dyDescent="0.2">
      <c r="A7">
        <f>Hoja1!B22*Hoja1!C22</f>
        <v>2168</v>
      </c>
      <c r="B7">
        <f>Hoja1!B22*Hoja1!C22</f>
        <v>2168</v>
      </c>
      <c r="C7">
        <f>Hoja1!B22*Hoja1!D22</f>
        <v>2640</v>
      </c>
      <c r="D7">
        <f>Hoja1!B22*Hoja1!D22</f>
        <v>2640</v>
      </c>
    </row>
    <row r="8" spans="1:4" x14ac:dyDescent="0.2">
      <c r="A8">
        <f>Hoja1!B23*Hoja1!C23</f>
        <v>984</v>
      </c>
      <c r="B8">
        <f>Hoja1!B23*Hoja1!C23</f>
        <v>984</v>
      </c>
      <c r="C8">
        <f>Hoja1!B23*Hoja1!D23</f>
        <v>1320</v>
      </c>
      <c r="D8">
        <f>Hoja1!B23*Hoja1!D23</f>
        <v>1320</v>
      </c>
    </row>
    <row r="9" spans="1:4" x14ac:dyDescent="0.2">
      <c r="A9">
        <f>Hoja1!B24*Hoja1!C24</f>
        <v>3300</v>
      </c>
      <c r="B9">
        <f>Hoja1!B24*Hoja1!C24</f>
        <v>3300</v>
      </c>
      <c r="C9">
        <f>Hoja1!B24*Hoja1!D24</f>
        <v>800</v>
      </c>
      <c r="D9">
        <f>Hoja1!B24*Hoja1!D24</f>
        <v>800</v>
      </c>
    </row>
    <row r="10" spans="1:4" x14ac:dyDescent="0.2">
      <c r="A10">
        <f>Hoja1!B25*Hoja1!C25</f>
        <v>2056</v>
      </c>
      <c r="B10">
        <f>Hoja1!B25*Hoja1!C25</f>
        <v>2056</v>
      </c>
      <c r="C10">
        <f>Hoja1!B25*Hoja1!D25</f>
        <v>800</v>
      </c>
      <c r="D10">
        <f>Hoja1!B25*Hoja1!D25</f>
        <v>800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2025-08-20T13:15:15Z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