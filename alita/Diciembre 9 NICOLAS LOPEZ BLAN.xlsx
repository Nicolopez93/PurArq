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alita\"/>
    </mc:Choice>
  </mc:AlternateContent>
  <xr:revisionPtr revIDLastSave="0" documentId="13_ncr:1_{7F343D7C-7D44-4EA6-B7C4-EBA308E568A1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<sst xmlns="http://schemas.openxmlformats.org/spreadsheetml/2006/main" count="46" uniqueCount="34">
  <si>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</si>
  <si>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</si>
  <si>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</si>
  <si>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</si>
  <si>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</si>
  <si>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</si>
  <si>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</si>
  <si>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</si>
  <si>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</si>
  <si>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</si>
  <si>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</si>
  <si>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</si>
  <si>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</si>
  <si>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</si>
  <si>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</si>
  <si>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</si>
  <si>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</si>
  <si>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</si>
  <si>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</si>
  <si>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</si>
  <si>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</si>
  <si>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</si>
  <si>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</si>
  <si>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</si>
  <si>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</si>
  <si>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</si>
  <si>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</si>
  <si>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</si>
  <si>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</si>
  <si>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estante</t>
  </si>
  <si>
    <t>base alace</t>
  </si>
  <si>
    <t>lat alace</t>
  </si>
  <si>
    <t>puertas</t>
  </si>
  <si>
    <t xml:space="preserve">puertas abajo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</si>
</sst>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0" zoomScale="130" zoomScaleNormal="130" workbookViewId="0">
      <selection activeCell="A43" sqref="A23:A43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85.951999999999998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24.805199999999999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4</v>
      </c>
      <c r="C16" s="23">
        <v>780</v>
      </c>
      <c r="D16" s="24">
        <v>300</v>
      </c>
      <c r="E16" s="25" t="s">
        <v>30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6.24</v>
      </c>
      <c r="Q16">
        <v>1</v>
      </c>
      <c r="R16" s="34">
        <f>((SUMIF(G16:G1016,D3,Hoja3!A1:A1001)+SUMIF(H16:H1016,D3,Hoja3!B1:B1001)+SUMIF(I16:I1016,D3,Hoja3!C1:C1001)+SUMIF(J16:J1016,D3,Hoja3!D1:D1001))/1000)*1.05</f>
        <v>24.805199999999999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464</v>
      </c>
      <c r="D17" s="24">
        <v>300</v>
      </c>
      <c r="E17" s="25" t="s">
        <v>31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3.7120000000000002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2</v>
      </c>
      <c r="C18" s="23">
        <v>744</v>
      </c>
      <c r="D18" s="24">
        <v>300</v>
      </c>
      <c r="E18" s="25" t="s">
        <v>29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1.488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4</v>
      </c>
      <c r="C19" s="23">
        <v>496</v>
      </c>
      <c r="D19" s="24">
        <v>386</v>
      </c>
      <c r="E19" s="25" t="s">
        <v>32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9" s="33">
        <f t="shared" si="0"/>
        <v>7.056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736</v>
      </c>
      <c r="D20" s="24">
        <v>546</v>
      </c>
      <c r="E20" s="25" t="s">
        <v>33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5.1280000000000001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24.805199999999999</v>
      </c>
      <c r="S24" s="39" t="s">
        <v>27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3120</v>
      </c>
      <c r="B1">
        <f>Hoja1!B16*Hoja1!C16</f>
        <v>3120</v>
      </c>
      <c r="C1">
        <f>Hoja1!B16*Hoja1!D16</f>
        <v>1200</v>
      </c>
      <c r="D1">
        <f>Hoja1!B16*Hoja1!D16</f>
        <v>1200</v>
      </c>
    </row>
    <row r="2" spans="1:4" x14ac:dyDescent="0.2">
      <c r="A2">
        <f>Hoja1!B17*Hoja1!C17</f>
        <v>1856</v>
      </c>
      <c r="B2">
        <f>Hoja1!B17*Hoja1!C17</f>
        <v>1856</v>
      </c>
      <c r="C2">
        <f>Hoja1!B17*Hoja1!D17</f>
        <v>1200</v>
      </c>
      <c r="D2">
        <f>Hoja1!B17*Hoja1!D17</f>
        <v>1200</v>
      </c>
    </row>
    <row r="3" spans="1:4" x14ac:dyDescent="0.2">
      <c r="A3">
        <f>Hoja1!B18*Hoja1!C18</f>
        <v>1488</v>
      </c>
      <c r="B3">
        <f>Hoja1!B18*Hoja1!C18</f>
        <v>1488</v>
      </c>
      <c r="C3">
        <f>Hoja1!B18*Hoja1!D18</f>
        <v>600</v>
      </c>
      <c r="D3">
        <f>Hoja1!B18*Hoja1!D18</f>
        <v>600</v>
      </c>
    </row>
    <row r="4" spans="1:4" x14ac:dyDescent="0.2">
      <c r="A4">
        <f>Hoja1!B19*Hoja1!C19</f>
        <v>1984</v>
      </c>
      <c r="B4">
        <f>Hoja1!B19*Hoja1!C19</f>
        <v>1984</v>
      </c>
      <c r="C4">
        <f>Hoja1!B19*Hoja1!D19</f>
        <v>1544</v>
      </c>
      <c r="D4">
        <f>Hoja1!B19*Hoja1!D19</f>
        <v>1544</v>
      </c>
    </row>
    <row r="5" spans="1:4" x14ac:dyDescent="0.2">
      <c r="A5">
        <f>Hoja1!B20*Hoja1!C20</f>
        <v>1472</v>
      </c>
      <c r="B5">
        <f>Hoja1!B20*Hoja1!C20</f>
        <v>1472</v>
      </c>
      <c r="C5">
        <f>Hoja1!B20*Hoja1!D20</f>
        <v>1092</v>
      </c>
      <c r="D5">
        <f>Hoja1!B20*Hoja1!D20</f>
        <v>1092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2024-12-09T13:25:17Z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