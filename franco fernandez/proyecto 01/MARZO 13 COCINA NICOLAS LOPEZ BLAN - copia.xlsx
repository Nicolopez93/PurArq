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1\"/>
    </mc:Choice>
  </mc:AlternateContent>
  <xr:revisionPtr revIDLastSave="0" documentId="13_ncr:1_{20367084-0234-4694-88CA-7749D21A892D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<sst xmlns="http://schemas.openxmlformats.org/spreadsheetml/2006/main" count="64" uniqueCount="39">
  <si>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</si>
  <si>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</si>
  <si>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</si>
  <si>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</si>
  <si>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</si>
  <si>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</si>
  <si>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</si>
  <si>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</si>
  <si>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</si>
  <si>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</si>
  <si>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</si>
  <si>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</si>
  <si>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</si>
  <si>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</si>
  <si>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</si>
  <si>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</si>
  <si>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</si>
  <si>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</si>
  <si>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</si>
  <si>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</si>
  <si>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</si>
  <si>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</si>
  <si>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</si>
  <si>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</si>
  <si>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</si>
  <si>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</si>
  <si>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</si>
  <si>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</si>
  <si>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</si>
  <si>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sup</t>
  </si>
  <si>
    <t>base principal</t>
  </si>
  <si>
    <t>lat principal</t>
  </si>
  <si>
    <t>lat infe</t>
  </si>
  <si>
    <t>base sup</t>
  </si>
  <si>
    <t>base medio</t>
  </si>
  <si>
    <t>estabte</t>
  </si>
  <si>
    <t>tapa cajon</t>
  </si>
  <si>
    <t>lat cajon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</si>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</sst>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1" zoomScale="130" zoomScaleNormal="130" workbookViewId="0">
      <selection activeCell="B31" sqref="B3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384.18599999999998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45.721199999999996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1236</v>
      </c>
      <c r="D16" s="24">
        <v>600</v>
      </c>
      <c r="E16" s="25" t="s">
        <v>30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4.8719999999999999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45.721199999999996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2189</v>
      </c>
      <c r="D17" s="24">
        <v>600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8.7560000000000002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848</v>
      </c>
      <c r="D18" s="24">
        <v>432</v>
      </c>
      <c r="E18" s="25" t="s">
        <v>32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6.7839999999999998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4</v>
      </c>
      <c r="C19" s="23">
        <v>1036</v>
      </c>
      <c r="D19" s="24">
        <v>432</v>
      </c>
      <c r="E19" s="25" t="s">
        <v>29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8.2880000000000003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500</v>
      </c>
      <c r="D20" s="24">
        <v>432</v>
      </c>
      <c r="E20" s="25" t="s">
        <v>33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0.5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500</v>
      </c>
      <c r="D21" s="24">
        <v>450</v>
      </c>
      <c r="E21" s="25" t="s">
        <v>34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4</v>
      </c>
      <c r="C22" s="23">
        <v>464</v>
      </c>
      <c r="D22" s="24">
        <v>432</v>
      </c>
      <c r="E22" s="25" t="s">
        <v>35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1.8560000000000001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700</v>
      </c>
      <c r="D23" s="24">
        <v>432</v>
      </c>
      <c r="E23" s="25" t="s">
        <v>33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0.7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700</v>
      </c>
      <c r="D24" s="24">
        <v>450</v>
      </c>
      <c r="E24" s="25" t="s">
        <v>34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1.4</v>
      </c>
      <c r="R24" s="38">
        <f>SUM(R16:R23)</f>
        <v>45.721199999999996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664</v>
      </c>
      <c r="D25" s="24">
        <v>432</v>
      </c>
      <c r="E25" s="25" t="s">
        <v>35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0.66400000000000003</v>
      </c>
    </row>
    <row r="26" spans="1:19" x14ac:dyDescent="0.2">
      <c r="A26" s="21" t="s">
        <v>26</v>
      </c>
      <c r="B26" s="22">
        <v>2</v>
      </c>
      <c r="C26" s="23">
        <v>220</v>
      </c>
      <c r="D26" s="24">
        <v>496</v>
      </c>
      <c r="E26" s="25" t="s">
        <v>36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2.8639999999999999</v>
      </c>
    </row>
    <row r="27" spans="1:19" x14ac:dyDescent="0.2">
      <c r="A27" s="21" t="s">
        <v>26</v>
      </c>
      <c r="B27" s="22">
        <v>4</v>
      </c>
      <c r="C27" s="23">
        <v>437</v>
      </c>
      <c r="D27" s="24">
        <v>150</v>
      </c>
      <c r="E27" s="25" t="s">
        <v>37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2.948</v>
      </c>
    </row>
    <row r="28" spans="1:19" x14ac:dyDescent="0.2">
      <c r="A28" s="21" t="s">
        <v>26</v>
      </c>
      <c r="B28" s="22">
        <v>4</v>
      </c>
      <c r="C28" s="23">
        <v>364</v>
      </c>
      <c r="D28" s="24">
        <v>150</v>
      </c>
      <c r="E28" s="25" t="s">
        <v>37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2.9119999999999999</v>
      </c>
    </row>
    <row r="29" spans="1:19" x14ac:dyDescent="0.2">
      <c r="A29" s="21" t="s">
        <v>26</v>
      </c>
      <c r="B29" s="22">
        <v>2</v>
      </c>
      <c r="C29" s="23">
        <v>580</v>
      </c>
      <c r="D29" s="24">
        <v>2159</v>
      </c>
      <c r="E29" s="25" t="s">
        <v>38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2472</v>
      </c>
      <c r="B1">
        <f>Hoja1!B16*Hoja1!C16</f>
        <v>2472</v>
      </c>
      <c r="C1">
        <f>Hoja1!B16*Hoja1!D16</f>
        <v>1200</v>
      </c>
      <c r="D1">
        <f>Hoja1!B16*Hoja1!D16</f>
        <v>1200</v>
      </c>
    </row>
    <row r="2" spans="1:4" x14ac:dyDescent="0.2">
      <c r="A2">
        <f>Hoja1!B17*Hoja1!C17</f>
        <v>4378</v>
      </c>
      <c r="B2">
        <f>Hoja1!B17*Hoja1!C17</f>
        <v>4378</v>
      </c>
      <c r="C2">
        <f>Hoja1!B17*Hoja1!D17</f>
        <v>1200</v>
      </c>
      <c r="D2">
        <f>Hoja1!B17*Hoja1!D17</f>
        <v>1200</v>
      </c>
    </row>
    <row r="3" spans="1:4" x14ac:dyDescent="0.2">
      <c r="A3">
        <f>Hoja1!B18*Hoja1!C18</f>
        <v>3392</v>
      </c>
      <c r="B3">
        <f>Hoja1!B18*Hoja1!C18</f>
        <v>3392</v>
      </c>
      <c r="C3">
        <f>Hoja1!B18*Hoja1!D18</f>
        <v>1728</v>
      </c>
      <c r="D3">
        <f>Hoja1!B18*Hoja1!D18</f>
        <v>1728</v>
      </c>
    </row>
    <row r="4" spans="1:4" x14ac:dyDescent="0.2">
      <c r="A4">
        <f>Hoja1!B19*Hoja1!C19</f>
        <v>4144</v>
      </c>
      <c r="B4">
        <f>Hoja1!B19*Hoja1!C19</f>
        <v>4144</v>
      </c>
      <c r="C4">
        <f>Hoja1!B19*Hoja1!D19</f>
        <v>1728</v>
      </c>
      <c r="D4">
        <f>Hoja1!B19*Hoja1!D19</f>
        <v>1728</v>
      </c>
    </row>
    <row r="5" spans="1:4" x14ac:dyDescent="0.2">
      <c r="A5">
        <f>Hoja1!B20*Hoja1!C20</f>
        <v>500</v>
      </c>
      <c r="B5">
        <f>Hoja1!B20*Hoja1!C20</f>
        <v>500</v>
      </c>
      <c r="C5">
        <f>Hoja1!B20*Hoja1!D20</f>
        <v>432</v>
      </c>
      <c r="D5">
        <f>Hoja1!B20*Hoja1!D20</f>
        <v>432</v>
      </c>
    </row>
    <row r="6" spans="1:4" x14ac:dyDescent="0.2">
      <c r="A6">
        <f>Hoja1!B21*Hoja1!C21</f>
        <v>1000</v>
      </c>
      <c r="B6">
        <f>Hoja1!B21*Hoja1!C21</f>
        <v>1000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1856</v>
      </c>
      <c r="B7">
        <f>Hoja1!B22*Hoja1!C22</f>
        <v>1856</v>
      </c>
      <c r="C7">
        <f>Hoja1!B22*Hoja1!D22</f>
        <v>1728</v>
      </c>
      <c r="D7">
        <f>Hoja1!B22*Hoja1!D22</f>
        <v>1728</v>
      </c>
    </row>
    <row r="8" spans="1:4" x14ac:dyDescent="0.2">
      <c r="A8">
        <f>Hoja1!B23*Hoja1!C23</f>
        <v>700</v>
      </c>
      <c r="B8">
        <f>Hoja1!B23*Hoja1!C23</f>
        <v>700</v>
      </c>
      <c r="C8">
        <f>Hoja1!B23*Hoja1!D23</f>
        <v>432</v>
      </c>
      <c r="D8">
        <f>Hoja1!B23*Hoja1!D23</f>
        <v>432</v>
      </c>
    </row>
    <row r="9" spans="1:4" x14ac:dyDescent="0.2">
      <c r="A9">
        <f>Hoja1!B24*Hoja1!C24</f>
        <v>1400</v>
      </c>
      <c r="B9">
        <f>Hoja1!B24*Hoja1!C24</f>
        <v>1400</v>
      </c>
      <c r="C9">
        <f>Hoja1!B24*Hoja1!D24</f>
        <v>900</v>
      </c>
      <c r="D9">
        <f>Hoja1!B24*Hoja1!D24</f>
        <v>900</v>
      </c>
    </row>
    <row r="10" spans="1:4" x14ac:dyDescent="0.2">
      <c r="A10">
        <f>Hoja1!B25*Hoja1!C25</f>
        <v>664</v>
      </c>
      <c r="B10">
        <f>Hoja1!B25*Hoja1!C25</f>
        <v>664</v>
      </c>
      <c r="C10">
        <f>Hoja1!B25*Hoja1!D25</f>
        <v>432</v>
      </c>
      <c r="D10">
        <f>Hoja1!B25*Hoja1!D25</f>
        <v>432</v>
      </c>
    </row>
    <row r="11" spans="1:4" x14ac:dyDescent="0.2">
      <c r="A11">
        <f>Hoja1!B26*Hoja1!C26</f>
        <v>440</v>
      </c>
      <c r="B11">
        <f>Hoja1!B26*Hoja1!C26</f>
        <v>440</v>
      </c>
      <c r="C11">
        <f>Hoja1!B26*Hoja1!D26</f>
        <v>992</v>
      </c>
      <c r="D11">
        <f>Hoja1!B26*Hoja1!D26</f>
        <v>992</v>
      </c>
    </row>
    <row r="12" spans="1:4" x14ac:dyDescent="0.2">
      <c r="A12">
        <f>Hoja1!B27*Hoja1!C27</f>
        <v>1748</v>
      </c>
      <c r="B12">
        <f>Hoja1!B27*Hoja1!C27</f>
        <v>1748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1456</v>
      </c>
      <c r="B13">
        <f>Hoja1!B28*Hoja1!C28</f>
        <v>1456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1160</v>
      </c>
      <c r="B14">
        <f>Hoja1!B29*Hoja1!C29</f>
        <v>1160</v>
      </c>
      <c r="C14">
        <f>Hoja1!B29*Hoja1!D29</f>
        <v>4318</v>
      </c>
      <c r="D14">
        <f>Hoja1!B29*Hoja1!D29</f>
        <v>4318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2025-03-12T23:10:43Z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