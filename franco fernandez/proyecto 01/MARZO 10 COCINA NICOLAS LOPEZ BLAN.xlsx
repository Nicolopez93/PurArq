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franco fernandez\proyecto 01\"/>
    </mc:Choice>
  </mc:AlternateContent>
  <xr:revisionPtr revIDLastSave="0" documentId="13_ncr:1_{50F1595A-F8BA-44EF-B11E-EAD983EA686F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<sst xmlns="http://schemas.openxmlformats.org/spreadsheetml/2006/main" count="138" uniqueCount="67">
  <si>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</si>
  <si>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</si>
  <si>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</si>
  <si>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</si>
  <si>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</si>
  <si>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</si>
  <si>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</si>
  <si>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</si>
  <si>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</si>
  <si>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</si>
  <si>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</si>
  <si>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</si>
  <si>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</si>
  <si>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</si>
  <si>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</si>
  <si>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</si>
  <si>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</si>
  <si>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</si>
  <si>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</si>
  <si>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</si>
  <si>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</si>
  <si>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</si>
  <si>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</si>
  <si>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</si>
  <si>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</si>
  <si>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</si>
  <si>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</si>
  <si>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</si>
  <si>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</si>
  <si>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lat bajo mesada</t>
  </si>
  <si>
    <t>base 4 bajo m</t>
  </si>
  <si>
    <t>base 1 bajo m</t>
  </si>
  <si>
    <t>base 2 bajo m</t>
  </si>
  <si>
    <t>base 3 bajo m</t>
  </si>
  <si>
    <t xml:space="preserve">soporte </t>
  </si>
  <si>
    <t>manija</t>
  </si>
  <si>
    <t>lat cajon1</t>
  </si>
  <si>
    <t>tapa cajon 1</t>
  </si>
  <si>
    <t>tapa cajon 2</t>
  </si>
  <si>
    <t>soporte 2</t>
  </si>
  <si>
    <t>manija 2</t>
  </si>
  <si>
    <t>estante 2</t>
  </si>
  <si>
    <t>puerta 2</t>
  </si>
  <si>
    <t>soporte 3</t>
  </si>
  <si>
    <t>manija 3</t>
  </si>
  <si>
    <t>lat cajon3</t>
  </si>
  <si>
    <t>tapa cajon 3</t>
  </si>
  <si>
    <t>soporte 4</t>
  </si>
  <si>
    <t>manija 4</t>
  </si>
  <si>
    <t>lat cajon4</t>
  </si>
  <si>
    <t>puerta4</t>
  </si>
  <si>
    <t>lat sup</t>
  </si>
  <si>
    <t>lat sup estracto</t>
  </si>
  <si>
    <t>lat sup micro</t>
  </si>
  <si>
    <t>base sup 1</t>
  </si>
  <si>
    <t>base sup234</t>
  </si>
  <si>
    <t>base sup 2</t>
  </si>
  <si>
    <t>base sup 5</t>
  </si>
  <si>
    <t>base sup 6</t>
  </si>
  <si>
    <t>estante 1</t>
  </si>
  <si>
    <t xml:space="preserve">estante3y4 </t>
  </si>
  <si>
    <t>vino 146 corta</t>
  </si>
  <si>
    <t>estante 6</t>
  </si>
  <si>
    <t>puerta 6</t>
  </si>
  <si>
    <t>puerta 5</t>
  </si>
  <si>
    <t>puerta 4y3</t>
  </si>
  <si>
    <t>puesta arriba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</si>
</sst>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55" zoomScale="130" zoomScaleNormal="130" workbookViewId="0">
      <selection activeCell="A66" sqref="A66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3233.5120000000002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113.78010000000006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8</v>
      </c>
      <c r="C16" s="23">
        <v>824</v>
      </c>
      <c r="D16" s="24">
        <v>560</v>
      </c>
      <c r="E16" s="25" t="s">
        <v>29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13.183999999999999</v>
      </c>
      <c r="Q16">
        <v>1</v>
      </c>
      <c r="R16" s="34">
        <f>((SUMIF(G16:G1016,D3,Hoja3!A1:A1001)+SUMIF(H16:H1016,D3,Hoja3!B1:B1001)+SUMIF(I16:I1016,D3,Hoja3!C1:C1001)+SUMIF(J16:J1016,D3,Hoja3!D1:D1001))/1000)*1.05</f>
        <v>113.7801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</v>
      </c>
      <c r="C17" s="23">
        <v>830</v>
      </c>
      <c r="D17" s="24">
        <v>560</v>
      </c>
      <c r="E17" s="25" t="s">
        <v>31</v>
      </c>
      <c r="F17" s="25"/>
      <c r="G17" s="36">
        <v>1</v>
      </c>
      <c r="H17" s="36"/>
      <c r="I17" s="36">
        <v>1</v>
      </c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1.39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640</v>
      </c>
      <c r="D18" s="24">
        <v>560</v>
      </c>
      <c r="E18" s="25" t="s">
        <v>32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0.64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1</v>
      </c>
      <c r="C19" s="23">
        <v>580</v>
      </c>
      <c r="D19" s="24">
        <v>560</v>
      </c>
      <c r="E19" s="25" t="s">
        <v>33</v>
      </c>
      <c r="F19" s="25"/>
      <c r="G19" s="36">
        <v>1</v>
      </c>
      <c r="H19" s="36"/>
      <c r="I19" s="36">
        <v>1</v>
      </c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1.1399999999999999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1</v>
      </c>
      <c r="C20" s="23">
        <v>300</v>
      </c>
      <c r="D20" s="24">
        <v>560</v>
      </c>
      <c r="E20" s="25" t="s">
        <v>30</v>
      </c>
      <c r="F20" s="25"/>
      <c r="G20" s="36">
        <v>1</v>
      </c>
      <c r="H20" s="36"/>
      <c r="I20" s="36">
        <v>1</v>
      </c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0.86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1</v>
      </c>
      <c r="C21" s="23">
        <v>794</v>
      </c>
      <c r="D21" s="24">
        <v>100</v>
      </c>
      <c r="E21" s="25" t="s">
        <v>34</v>
      </c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2</v>
      </c>
      <c r="C22" s="23">
        <v>794</v>
      </c>
      <c r="D22" s="24">
        <v>62</v>
      </c>
      <c r="E22" s="25" t="s">
        <v>35</v>
      </c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3</v>
      </c>
      <c r="C23" s="23">
        <v>794</v>
      </c>
      <c r="D23" s="24">
        <v>48</v>
      </c>
      <c r="E23" s="25" t="s">
        <v>35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4</v>
      </c>
      <c r="C24" s="23">
        <v>767</v>
      </c>
      <c r="D24" s="24">
        <v>150</v>
      </c>
      <c r="E24" s="25" t="s">
        <v>36</v>
      </c>
      <c r="F24" s="25"/>
      <c r="G24" s="37">
        <v>1</v>
      </c>
      <c r="H24" s="37"/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4.2679999999999998</v>
      </c>
      <c r="R24" s="38">
        <f>SUM(R16:R23)</f>
        <v>113.7801</v>
      </c>
      <c r="S24" s="39" t="s">
        <v>27</v>
      </c>
    </row>
    <row r="25" spans="1:19" x14ac:dyDescent="0.2">
      <c r="A25" s="21" t="s">
        <v>26</v>
      </c>
      <c r="B25" s="22">
        <v>4</v>
      </c>
      <c r="C25" s="23">
        <v>464</v>
      </c>
      <c r="D25" s="24">
        <v>150</v>
      </c>
      <c r="E25" s="25" t="s">
        <v>36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3.7120000000000002</v>
      </c>
    </row>
    <row r="26" spans="1:19" x14ac:dyDescent="0.2">
      <c r="A26" s="21" t="s">
        <v>26</v>
      </c>
      <c r="B26" s="22">
        <v>2</v>
      </c>
      <c r="C26" s="23">
        <v>767</v>
      </c>
      <c r="D26" s="24">
        <v>200</v>
      </c>
      <c r="E26" s="25" t="s">
        <v>36</v>
      </c>
      <c r="F26" s="25"/>
      <c r="G26" s="37">
        <v>1</v>
      </c>
      <c r="H26" s="37"/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6" s="33">
        <f t="shared" si="0"/>
        <v>2.3340000000000001</v>
      </c>
    </row>
    <row r="27" spans="1:19" x14ac:dyDescent="0.2">
      <c r="A27" s="21" t="s">
        <v>26</v>
      </c>
      <c r="B27" s="22">
        <v>2</v>
      </c>
      <c r="C27" s="23">
        <v>464</v>
      </c>
      <c r="D27" s="24">
        <v>200</v>
      </c>
      <c r="E27" s="25" t="s">
        <v>36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1.8560000000000001</v>
      </c>
    </row>
    <row r="28" spans="1:19" x14ac:dyDescent="0.2">
      <c r="A28" s="21" t="s">
        <v>26</v>
      </c>
      <c r="B28" s="22">
        <v>2</v>
      </c>
      <c r="C28" s="23">
        <v>220</v>
      </c>
      <c r="D28" s="24">
        <v>825</v>
      </c>
      <c r="E28" s="25" t="s">
        <v>37</v>
      </c>
      <c r="F28" s="25"/>
      <c r="G28" s="37">
        <v>1</v>
      </c>
      <c r="H28" s="37">
        <v>1</v>
      </c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8" s="33">
        <f t="shared" si="0"/>
        <v>4.18</v>
      </c>
    </row>
    <row r="29" spans="1:19" x14ac:dyDescent="0.2">
      <c r="A29" s="21" t="s">
        <v>26</v>
      </c>
      <c r="B29" s="22">
        <v>1</v>
      </c>
      <c r="C29" s="23">
        <v>297</v>
      </c>
      <c r="D29" s="24">
        <v>825</v>
      </c>
      <c r="E29" s="25" t="s">
        <v>38</v>
      </c>
      <c r="F29" s="25"/>
      <c r="G29" s="37">
        <v>1</v>
      </c>
      <c r="H29" s="37">
        <v>1</v>
      </c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9" s="33">
        <f t="shared" si="0"/>
        <v>2.2440000000000002</v>
      </c>
    </row>
    <row r="30" spans="1:19" x14ac:dyDescent="0.2">
      <c r="A30" s="21" t="s">
        <v>26</v>
      </c>
      <c r="B30" s="22">
        <v>1</v>
      </c>
      <c r="C30" s="23">
        <v>604</v>
      </c>
      <c r="D30" s="24">
        <v>100</v>
      </c>
      <c r="E30" s="25" t="s">
        <v>39</v>
      </c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 t="s">
        <v>26</v>
      </c>
      <c r="B31" s="22">
        <v>1</v>
      </c>
      <c r="C31" s="23">
        <v>604</v>
      </c>
      <c r="D31" s="24">
        <v>62</v>
      </c>
      <c r="E31" s="25" t="s">
        <v>40</v>
      </c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 t="s">
        <v>26</v>
      </c>
      <c r="B32" s="22">
        <v>1</v>
      </c>
      <c r="C32" s="23">
        <v>604</v>
      </c>
      <c r="D32" s="24">
        <v>48</v>
      </c>
      <c r="E32" s="25" t="s">
        <v>40</v>
      </c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 t="s">
        <v>26</v>
      </c>
      <c r="B33" s="22">
        <v>1</v>
      </c>
      <c r="C33" s="23">
        <v>604</v>
      </c>
      <c r="D33" s="24">
        <v>560</v>
      </c>
      <c r="E33" s="25" t="s">
        <v>41</v>
      </c>
      <c r="F33" s="25"/>
      <c r="G33" s="37">
        <v>1</v>
      </c>
      <c r="H33" s="37"/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0.60399999999999998</v>
      </c>
    </row>
    <row r="34" spans="1:15" x14ac:dyDescent="0.2">
      <c r="A34" s="21" t="s">
        <v>26</v>
      </c>
      <c r="B34" s="22">
        <v>2</v>
      </c>
      <c r="C34" s="23">
        <v>808</v>
      </c>
      <c r="D34" s="24">
        <v>316</v>
      </c>
      <c r="E34" s="25" t="s">
        <v>42</v>
      </c>
      <c r="F34" s="25"/>
      <c r="G34" s="37">
        <v>1</v>
      </c>
      <c r="H34" s="37">
        <v>1</v>
      </c>
      <c r="I34" s="37">
        <v>1</v>
      </c>
      <c r="J34" s="37">
        <v>1</v>
      </c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4" s="33">
        <f t="shared" si="0"/>
        <v>4.4960000000000004</v>
      </c>
    </row>
    <row r="35" spans="1:15" x14ac:dyDescent="0.2">
      <c r="A35" s="21" t="s">
        <v>26</v>
      </c>
      <c r="B35" s="22">
        <v>1</v>
      </c>
      <c r="C35" s="23">
        <v>544</v>
      </c>
      <c r="D35" s="24">
        <v>100</v>
      </c>
      <c r="E35" s="25" t="s">
        <v>43</v>
      </c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 t="s">
        <v>26</v>
      </c>
      <c r="B36" s="22">
        <v>2</v>
      </c>
      <c r="C36" s="23">
        <v>544</v>
      </c>
      <c r="D36" s="24">
        <v>62</v>
      </c>
      <c r="E36" s="25" t="s">
        <v>44</v>
      </c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 t="s">
        <v>26</v>
      </c>
      <c r="B37" s="22">
        <v>3</v>
      </c>
      <c r="C37" s="23">
        <v>544</v>
      </c>
      <c r="D37" s="24">
        <v>48</v>
      </c>
      <c r="E37" s="25" t="s">
        <v>44</v>
      </c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 t="s">
        <v>26</v>
      </c>
      <c r="B38" s="22">
        <v>4</v>
      </c>
      <c r="C38" s="23">
        <v>517</v>
      </c>
      <c r="D38" s="24">
        <v>150</v>
      </c>
      <c r="E38" s="25" t="s">
        <v>45</v>
      </c>
      <c r="F38" s="25"/>
      <c r="G38" s="37">
        <v>1</v>
      </c>
      <c r="H38" s="37"/>
      <c r="I38" s="37">
        <v>1</v>
      </c>
      <c r="J38" s="37">
        <v>1</v>
      </c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8" s="33">
        <f t="shared" si="0"/>
        <v>3.2679999999999998</v>
      </c>
    </row>
    <row r="39" spans="1:15" x14ac:dyDescent="0.2">
      <c r="A39" s="21" t="s">
        <v>26</v>
      </c>
      <c r="B39" s="22">
        <v>4</v>
      </c>
      <c r="C39" s="23">
        <v>464</v>
      </c>
      <c r="D39" s="24">
        <v>150</v>
      </c>
      <c r="E39" s="25" t="s">
        <v>45</v>
      </c>
      <c r="F39" s="25"/>
      <c r="G39" s="37">
        <v>1</v>
      </c>
      <c r="H39" s="37">
        <v>1</v>
      </c>
      <c r="I39" s="37"/>
      <c r="J39" s="37"/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3.7120000000000002</v>
      </c>
    </row>
    <row r="40" spans="1:15" x14ac:dyDescent="0.2">
      <c r="A40" s="21" t="s">
        <v>26</v>
      </c>
      <c r="B40" s="22">
        <v>2</v>
      </c>
      <c r="C40" s="23">
        <v>517</v>
      </c>
      <c r="D40" s="24">
        <v>200</v>
      </c>
      <c r="E40" s="25" t="s">
        <v>45</v>
      </c>
      <c r="F40" s="25"/>
      <c r="G40" s="37">
        <v>1</v>
      </c>
      <c r="H40" s="37"/>
      <c r="I40" s="37">
        <v>1</v>
      </c>
      <c r="J40" s="37">
        <v>1</v>
      </c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0" s="33">
        <f t="shared" si="0"/>
        <v>1.8340000000000001</v>
      </c>
    </row>
    <row r="41" spans="1:15" x14ac:dyDescent="0.2">
      <c r="A41" s="21" t="s">
        <v>26</v>
      </c>
      <c r="B41" s="22">
        <v>2</v>
      </c>
      <c r="C41" s="23">
        <v>464</v>
      </c>
      <c r="D41" s="24">
        <v>200</v>
      </c>
      <c r="E41" s="25" t="s">
        <v>45</v>
      </c>
      <c r="F41" s="25"/>
      <c r="G41" s="37">
        <v>1</v>
      </c>
      <c r="H41" s="37">
        <v>1</v>
      </c>
      <c r="I41" s="37"/>
      <c r="J41" s="37"/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1.8560000000000001</v>
      </c>
    </row>
    <row r="42" spans="1:15" x14ac:dyDescent="0.2">
      <c r="A42" s="21" t="s">
        <v>26</v>
      </c>
      <c r="B42" s="22">
        <v>2</v>
      </c>
      <c r="C42" s="23">
        <v>220</v>
      </c>
      <c r="D42" s="24">
        <v>576</v>
      </c>
      <c r="E42" s="25" t="s">
        <v>46</v>
      </c>
      <c r="F42" s="25"/>
      <c r="G42" s="37">
        <v>1</v>
      </c>
      <c r="H42" s="37">
        <v>1</v>
      </c>
      <c r="I42" s="37">
        <v>1</v>
      </c>
      <c r="J42" s="37">
        <v>1</v>
      </c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2" s="33">
        <f t="shared" si="0"/>
        <v>3.1840000000000002</v>
      </c>
    </row>
    <row r="43" spans="1:15" x14ac:dyDescent="0.2">
      <c r="A43" s="21" t="s">
        <v>26</v>
      </c>
      <c r="B43" s="22">
        <v>1</v>
      </c>
      <c r="C43" s="23">
        <v>297</v>
      </c>
      <c r="D43" s="24">
        <v>576</v>
      </c>
      <c r="E43" s="25" t="s">
        <v>46</v>
      </c>
      <c r="F43" s="25"/>
      <c r="G43" s="37">
        <v>1</v>
      </c>
      <c r="H43" s="37">
        <v>1</v>
      </c>
      <c r="I43" s="37">
        <v>1</v>
      </c>
      <c r="J43" s="37">
        <v>1</v>
      </c>
      <c r="K4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3" s="33">
        <f t="shared" si="0"/>
        <v>1.746</v>
      </c>
    </row>
    <row r="44" spans="1:15" x14ac:dyDescent="0.2">
      <c r="A44" s="21" t="s">
        <v>26</v>
      </c>
      <c r="B44" s="22">
        <v>1</v>
      </c>
      <c r="C44" s="23">
        <v>264</v>
      </c>
      <c r="D44" s="24">
        <v>100</v>
      </c>
      <c r="E44" s="25" t="s">
        <v>47</v>
      </c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 t="s">
        <v>26</v>
      </c>
      <c r="B45" s="22">
        <v>2</v>
      </c>
      <c r="C45" s="23">
        <v>544</v>
      </c>
      <c r="D45" s="24">
        <v>62</v>
      </c>
      <c r="E45" s="25" t="s">
        <v>48</v>
      </c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 t="s">
        <v>26</v>
      </c>
      <c r="B46" s="22">
        <v>3</v>
      </c>
      <c r="C46" s="23">
        <v>544</v>
      </c>
      <c r="D46" s="24">
        <v>48</v>
      </c>
      <c r="E46" s="25" t="s">
        <v>48</v>
      </c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 t="s">
        <v>26</v>
      </c>
      <c r="B47" s="22">
        <v>4</v>
      </c>
      <c r="C47" s="23">
        <v>237</v>
      </c>
      <c r="D47" s="24">
        <v>150</v>
      </c>
      <c r="E47" s="25" t="s">
        <v>49</v>
      </c>
      <c r="F47" s="25"/>
      <c r="G47" s="37">
        <v>1</v>
      </c>
      <c r="H47" s="37"/>
      <c r="I47" s="37">
        <v>1</v>
      </c>
      <c r="J47" s="37">
        <v>1</v>
      </c>
      <c r="K4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7" s="33">
        <f t="shared" si="0"/>
        <v>2.1480000000000001</v>
      </c>
    </row>
    <row r="48" spans="1:15" x14ac:dyDescent="0.2">
      <c r="A48" s="21" t="s">
        <v>26</v>
      </c>
      <c r="B48" s="22">
        <v>4</v>
      </c>
      <c r="C48" s="23">
        <v>464</v>
      </c>
      <c r="D48" s="24">
        <v>150</v>
      </c>
      <c r="E48" s="25" t="s">
        <v>49</v>
      </c>
      <c r="F48" s="25"/>
      <c r="G48" s="37">
        <v>1</v>
      </c>
      <c r="H48" s="37">
        <v>1</v>
      </c>
      <c r="I48" s="37"/>
      <c r="J48" s="37"/>
      <c r="K4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3.7120000000000002</v>
      </c>
    </row>
    <row r="49" spans="1:15" x14ac:dyDescent="0.2">
      <c r="A49" s="21" t="s">
        <v>26</v>
      </c>
      <c r="B49" s="22">
        <v>1</v>
      </c>
      <c r="C49" s="23">
        <v>808</v>
      </c>
      <c r="D49" s="24">
        <v>296</v>
      </c>
      <c r="E49" s="25" t="s">
        <v>50</v>
      </c>
      <c r="F49" s="25"/>
      <c r="G49" s="37">
        <v>1</v>
      </c>
      <c r="H49" s="37">
        <v>1</v>
      </c>
      <c r="I49" s="37">
        <v>1</v>
      </c>
      <c r="J49" s="37">
        <v>1</v>
      </c>
      <c r="K4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9" s="33">
        <f t="shared" si="0"/>
        <v>2.2080000000000002</v>
      </c>
    </row>
    <row r="50" spans="1:15" x14ac:dyDescent="0.2">
      <c r="A50" s="21" t="s">
        <v>26</v>
      </c>
      <c r="B50" s="22">
        <v>6</v>
      </c>
      <c r="C50" s="23">
        <v>664</v>
      </c>
      <c r="D50" s="24">
        <v>300</v>
      </c>
      <c r="E50" s="25" t="s">
        <v>51</v>
      </c>
      <c r="F50" s="25"/>
      <c r="G50" s="37">
        <v>1</v>
      </c>
      <c r="H50" s="37">
        <v>1</v>
      </c>
      <c r="I50" s="37"/>
      <c r="J50" s="37"/>
      <c r="K5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7.968</v>
      </c>
    </row>
    <row r="51" spans="1:15" x14ac:dyDescent="0.2">
      <c r="A51" s="21" t="s">
        <v>26</v>
      </c>
      <c r="B51" s="22">
        <v>2</v>
      </c>
      <c r="C51" s="23">
        <v>364</v>
      </c>
      <c r="D51" s="24">
        <v>300</v>
      </c>
      <c r="E51" s="25" t="s">
        <v>52</v>
      </c>
      <c r="F51" s="25"/>
      <c r="G51" s="37">
        <v>1</v>
      </c>
      <c r="H51" s="37">
        <v>1</v>
      </c>
      <c r="I51" s="37"/>
      <c r="J51" s="37"/>
      <c r="K5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1.456</v>
      </c>
    </row>
    <row r="52" spans="1:15" x14ac:dyDescent="0.2">
      <c r="A52" s="21" t="s">
        <v>26</v>
      </c>
      <c r="B52" s="22">
        <v>2</v>
      </c>
      <c r="C52" s="23">
        <v>318</v>
      </c>
      <c r="D52" s="24">
        <v>300</v>
      </c>
      <c r="E52" s="25" t="s">
        <v>53</v>
      </c>
      <c r="F52" s="25"/>
      <c r="G52" s="37">
        <v>1</v>
      </c>
      <c r="H52" s="37">
        <v>1</v>
      </c>
      <c r="I52" s="37"/>
      <c r="J52" s="37"/>
      <c r="K5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1.272</v>
      </c>
    </row>
    <row r="53" spans="1:15" x14ac:dyDescent="0.2">
      <c r="A53" s="21" t="s">
        <v>26</v>
      </c>
      <c r="B53" s="22">
        <v>4</v>
      </c>
      <c r="C53" s="23">
        <v>310</v>
      </c>
      <c r="D53" s="24">
        <v>300</v>
      </c>
      <c r="E53" s="25" t="s">
        <v>51</v>
      </c>
      <c r="F53" s="25"/>
      <c r="G53" s="37">
        <v>1</v>
      </c>
      <c r="H53" s="37">
        <v>1</v>
      </c>
      <c r="I53" s="37"/>
      <c r="J53" s="37"/>
      <c r="K5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2.48</v>
      </c>
    </row>
    <row r="54" spans="1:15" x14ac:dyDescent="0.2">
      <c r="A54" s="21" t="s">
        <v>26</v>
      </c>
      <c r="B54" s="22">
        <v>2</v>
      </c>
      <c r="C54" s="23">
        <v>650</v>
      </c>
      <c r="D54" s="24">
        <v>300</v>
      </c>
      <c r="E54" s="25" t="s">
        <v>54</v>
      </c>
      <c r="F54" s="25"/>
      <c r="G54" s="37">
        <v>1</v>
      </c>
      <c r="H54" s="37"/>
      <c r="I54" s="37">
        <v>1</v>
      </c>
      <c r="J54" s="37"/>
      <c r="K5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1.9</v>
      </c>
    </row>
    <row r="55" spans="1:15" x14ac:dyDescent="0.2">
      <c r="A55" s="21" t="s">
        <v>26</v>
      </c>
      <c r="B55" s="22">
        <v>7</v>
      </c>
      <c r="C55" s="23">
        <v>680</v>
      </c>
      <c r="D55" s="24">
        <v>300</v>
      </c>
      <c r="E55" s="25" t="s">
        <v>55</v>
      </c>
      <c r="F55" s="25"/>
      <c r="G55" s="37">
        <v>1</v>
      </c>
      <c r="H55" s="37"/>
      <c r="I55" s="37">
        <v>1</v>
      </c>
      <c r="J55" s="37"/>
      <c r="K5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6.86</v>
      </c>
    </row>
    <row r="56" spans="1:15" x14ac:dyDescent="0.2">
      <c r="A56" s="21" t="s">
        <v>26</v>
      </c>
      <c r="B56" s="22">
        <v>1</v>
      </c>
      <c r="C56" s="23">
        <v>680</v>
      </c>
      <c r="D56" s="24">
        <v>450</v>
      </c>
      <c r="E56" s="25" t="s">
        <v>56</v>
      </c>
      <c r="F56" s="25"/>
      <c r="G56" s="37">
        <v>1</v>
      </c>
      <c r="H56" s="37"/>
      <c r="I56" s="37">
        <v>1</v>
      </c>
      <c r="J56" s="37">
        <v>1</v>
      </c>
      <c r="K5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56" s="33">
        <f t="shared" si="0"/>
        <v>1.58</v>
      </c>
    </row>
    <row r="57" spans="1:15" x14ac:dyDescent="0.2">
      <c r="A57" s="21" t="s">
        <v>26</v>
      </c>
      <c r="B57" s="22">
        <v>2</v>
      </c>
      <c r="C57" s="23">
        <v>600</v>
      </c>
      <c r="D57" s="24">
        <v>300</v>
      </c>
      <c r="E57" s="25" t="s">
        <v>57</v>
      </c>
      <c r="F57" s="25"/>
      <c r="G57" s="37">
        <v>1</v>
      </c>
      <c r="H57" s="37"/>
      <c r="I57" s="37"/>
      <c r="J57" s="37"/>
      <c r="K5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1.2</v>
      </c>
    </row>
    <row r="58" spans="1:15" x14ac:dyDescent="0.2">
      <c r="A58" s="21" t="s">
        <v>26</v>
      </c>
      <c r="B58" s="22">
        <v>2</v>
      </c>
      <c r="C58" s="23">
        <v>300</v>
      </c>
      <c r="D58" s="24">
        <v>300</v>
      </c>
      <c r="E58" s="25" t="s">
        <v>58</v>
      </c>
      <c r="F58" s="25"/>
      <c r="G58" s="37">
        <v>1</v>
      </c>
      <c r="H58" s="37"/>
      <c r="I58" s="37">
        <v>1</v>
      </c>
      <c r="J58" s="37"/>
      <c r="K5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1.2</v>
      </c>
    </row>
    <row r="59" spans="1:15" x14ac:dyDescent="0.2">
      <c r="A59" s="21" t="s">
        <v>26</v>
      </c>
      <c r="B59" s="22">
        <v>1</v>
      </c>
      <c r="C59" s="23">
        <v>614</v>
      </c>
      <c r="D59" s="24">
        <v>300</v>
      </c>
      <c r="E59" s="25" t="s">
        <v>59</v>
      </c>
      <c r="F59" s="25"/>
      <c r="G59" s="37">
        <v>1</v>
      </c>
      <c r="H59" s="37"/>
      <c r="I59" s="37"/>
      <c r="J59" s="37"/>
      <c r="K5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0.61399999999999999</v>
      </c>
    </row>
    <row r="60" spans="1:15" x14ac:dyDescent="0.2">
      <c r="A60" s="21" t="s">
        <v>26</v>
      </c>
      <c r="B60" s="22">
        <v>8</v>
      </c>
      <c r="C60" s="23">
        <v>150</v>
      </c>
      <c r="D60" s="24">
        <v>300</v>
      </c>
      <c r="E60" s="25" t="s">
        <v>61</v>
      </c>
      <c r="F60" s="25"/>
      <c r="G60" s="37">
        <v>1</v>
      </c>
      <c r="H60" s="37"/>
      <c r="I60" s="37"/>
      <c r="J60" s="37"/>
      <c r="K6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1.2</v>
      </c>
    </row>
    <row r="61" spans="1:15" x14ac:dyDescent="0.2">
      <c r="A61" s="21" t="s">
        <v>26</v>
      </c>
      <c r="B61" s="22">
        <v>2</v>
      </c>
      <c r="C61" s="23">
        <v>644</v>
      </c>
      <c r="D61" s="24">
        <v>300</v>
      </c>
      <c r="E61" s="25" t="s">
        <v>60</v>
      </c>
      <c r="F61" s="25"/>
      <c r="G61" s="37">
        <v>1</v>
      </c>
      <c r="H61" s="37"/>
      <c r="I61" s="37"/>
      <c r="J61" s="37"/>
      <c r="K6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1.288</v>
      </c>
    </row>
    <row r="62" spans="1:15" x14ac:dyDescent="0.2">
      <c r="A62" s="21" t="s">
        <v>26</v>
      </c>
      <c r="B62" s="22">
        <v>1</v>
      </c>
      <c r="C62" s="23">
        <v>264</v>
      </c>
      <c r="D62" s="24">
        <v>300</v>
      </c>
      <c r="E62" s="25" t="s">
        <v>62</v>
      </c>
      <c r="F62" s="25"/>
      <c r="G62" s="37">
        <v>1</v>
      </c>
      <c r="H62" s="37"/>
      <c r="I62" s="37"/>
      <c r="J62" s="37"/>
      <c r="K6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0.26400000000000001</v>
      </c>
    </row>
    <row r="63" spans="1:15" x14ac:dyDescent="0.2">
      <c r="A63" s="21" t="s">
        <v>26</v>
      </c>
      <c r="B63" s="22">
        <v>1</v>
      </c>
      <c r="C63" s="23">
        <v>716</v>
      </c>
      <c r="D63" s="24">
        <v>296</v>
      </c>
      <c r="E63" s="25" t="s">
        <v>63</v>
      </c>
      <c r="F63" s="25"/>
      <c r="G63" s="37">
        <v>1</v>
      </c>
      <c r="H63" s="37">
        <v>1</v>
      </c>
      <c r="I63" s="37">
        <v>1</v>
      </c>
      <c r="J63" s="37">
        <v>1</v>
      </c>
      <c r="K6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6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6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63" s="33">
        <f t="shared" si="0"/>
        <v>2.024</v>
      </c>
    </row>
    <row r="64" spans="1:15" x14ac:dyDescent="0.2">
      <c r="A64" s="21" t="s">
        <v>26</v>
      </c>
      <c r="B64" s="22">
        <v>1</v>
      </c>
      <c r="C64" s="23">
        <v>418</v>
      </c>
      <c r="D64" s="24">
        <v>596</v>
      </c>
      <c r="E64" s="25" t="s">
        <v>64</v>
      </c>
      <c r="F64" s="25"/>
      <c r="G64" s="37">
        <v>1</v>
      </c>
      <c r="H64" s="37">
        <v>1</v>
      </c>
      <c r="I64" s="37">
        <v>1</v>
      </c>
      <c r="J64" s="37">
        <v>1</v>
      </c>
      <c r="K6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6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6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64" s="33">
        <f t="shared" si="0"/>
        <v>2.028</v>
      </c>
    </row>
    <row r="65" spans="1:15" x14ac:dyDescent="0.2">
      <c r="A65" s="21" t="s">
        <v>26</v>
      </c>
      <c r="B65" s="22">
        <v>4</v>
      </c>
      <c r="C65" s="23">
        <v>716</v>
      </c>
      <c r="D65" s="24">
        <v>336</v>
      </c>
      <c r="E65" s="25" t="s">
        <v>65</v>
      </c>
      <c r="F65" s="25"/>
      <c r="G65" s="37">
        <v>1</v>
      </c>
      <c r="H65" s="37">
        <v>1</v>
      </c>
      <c r="I65" s="37">
        <v>1</v>
      </c>
      <c r="J65" s="37">
        <v>1</v>
      </c>
      <c r="K6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6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6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65" s="33">
        <f t="shared" si="0"/>
        <v>8.4160000000000004</v>
      </c>
    </row>
    <row r="66" spans="1:15" x14ac:dyDescent="0.2">
      <c r="A66" s="21" t="s">
        <v>26</v>
      </c>
      <c r="B66" s="22">
        <v>1</v>
      </c>
      <c r="C66" s="23">
        <v>676</v>
      </c>
      <c r="D66" s="24">
        <v>342</v>
      </c>
      <c r="E66" s="25" t="s">
        <v>66</v>
      </c>
      <c r="F66" s="25"/>
      <c r="G66" s="37">
        <v>1</v>
      </c>
      <c r="H66" s="37">
        <v>1</v>
      </c>
      <c r="I66" s="37">
        <v>1</v>
      </c>
      <c r="J66" s="37">
        <v>1</v>
      </c>
      <c r="K6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6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6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66" s="33">
        <f t="shared" si="0"/>
        <v>2.036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6592</v>
      </c>
      <c r="B1">
        <f>Hoja1!B16*Hoja1!C16</f>
        <v>6592</v>
      </c>
      <c r="C1">
        <f>Hoja1!B16*Hoja1!D16</f>
        <v>4480</v>
      </c>
      <c r="D1">
        <f>Hoja1!B16*Hoja1!D16</f>
        <v>4480</v>
      </c>
    </row>
    <row r="2" spans="1:4" x14ac:dyDescent="0.2">
      <c r="A2">
        <f>Hoja1!B17*Hoja1!C17</f>
        <v>830</v>
      </c>
      <c r="B2">
        <f>Hoja1!B17*Hoja1!C17</f>
        <v>830</v>
      </c>
      <c r="C2">
        <f>Hoja1!B17*Hoja1!D17</f>
        <v>560</v>
      </c>
      <c r="D2">
        <f>Hoja1!B17*Hoja1!D17</f>
        <v>560</v>
      </c>
    </row>
    <row r="3" spans="1:4" x14ac:dyDescent="0.2">
      <c r="A3">
        <f>Hoja1!B18*Hoja1!C18</f>
        <v>640</v>
      </c>
      <c r="B3">
        <f>Hoja1!B18*Hoja1!C18</f>
        <v>640</v>
      </c>
      <c r="C3">
        <f>Hoja1!B18*Hoja1!D18</f>
        <v>560</v>
      </c>
      <c r="D3">
        <f>Hoja1!B18*Hoja1!D18</f>
        <v>560</v>
      </c>
    </row>
    <row r="4" spans="1:4" x14ac:dyDescent="0.2">
      <c r="A4">
        <f>Hoja1!B19*Hoja1!C19</f>
        <v>580</v>
      </c>
      <c r="B4">
        <f>Hoja1!B19*Hoja1!C19</f>
        <v>580</v>
      </c>
      <c r="C4">
        <f>Hoja1!B19*Hoja1!D19</f>
        <v>560</v>
      </c>
      <c r="D4">
        <f>Hoja1!B19*Hoja1!D19</f>
        <v>560</v>
      </c>
    </row>
    <row r="5" spans="1:4" x14ac:dyDescent="0.2">
      <c r="A5">
        <f>Hoja1!B20*Hoja1!C20</f>
        <v>300</v>
      </c>
      <c r="B5">
        <f>Hoja1!B20*Hoja1!C20</f>
        <v>300</v>
      </c>
      <c r="C5">
        <f>Hoja1!B20*Hoja1!D20</f>
        <v>560</v>
      </c>
      <c r="D5">
        <f>Hoja1!B20*Hoja1!D20</f>
        <v>560</v>
      </c>
    </row>
    <row r="6" spans="1:4" x14ac:dyDescent="0.2">
      <c r="A6">
        <f>Hoja1!B21*Hoja1!C21</f>
        <v>794</v>
      </c>
      <c r="B6">
        <f>Hoja1!B21*Hoja1!C21</f>
        <v>794</v>
      </c>
      <c r="C6">
        <f>Hoja1!B21*Hoja1!D21</f>
        <v>100</v>
      </c>
      <c r="D6">
        <f>Hoja1!B21*Hoja1!D21</f>
        <v>100</v>
      </c>
    </row>
    <row r="7" spans="1:4" x14ac:dyDescent="0.2">
      <c r="A7">
        <f>Hoja1!B22*Hoja1!C22</f>
        <v>1588</v>
      </c>
      <c r="B7">
        <f>Hoja1!B22*Hoja1!C22</f>
        <v>1588</v>
      </c>
      <c r="C7">
        <f>Hoja1!B22*Hoja1!D22</f>
        <v>124</v>
      </c>
      <c r="D7">
        <f>Hoja1!B22*Hoja1!D22</f>
        <v>124</v>
      </c>
    </row>
    <row r="8" spans="1:4" x14ac:dyDescent="0.2">
      <c r="A8">
        <f>Hoja1!B23*Hoja1!C23</f>
        <v>2382</v>
      </c>
      <c r="B8">
        <f>Hoja1!B23*Hoja1!C23</f>
        <v>2382</v>
      </c>
      <c r="C8">
        <f>Hoja1!B23*Hoja1!D23</f>
        <v>144</v>
      </c>
      <c r="D8">
        <f>Hoja1!B23*Hoja1!D23</f>
        <v>144</v>
      </c>
    </row>
    <row r="9" spans="1:4" x14ac:dyDescent="0.2">
      <c r="A9">
        <f>Hoja1!B24*Hoja1!C24</f>
        <v>3068</v>
      </c>
      <c r="B9">
        <f>Hoja1!B24*Hoja1!C24</f>
        <v>3068</v>
      </c>
      <c r="C9">
        <f>Hoja1!B24*Hoja1!D24</f>
        <v>600</v>
      </c>
      <c r="D9">
        <f>Hoja1!B24*Hoja1!D24</f>
        <v>600</v>
      </c>
    </row>
    <row r="10" spans="1:4" x14ac:dyDescent="0.2">
      <c r="A10">
        <f>Hoja1!B25*Hoja1!C25</f>
        <v>1856</v>
      </c>
      <c r="B10">
        <f>Hoja1!B25*Hoja1!C25</f>
        <v>1856</v>
      </c>
      <c r="C10">
        <f>Hoja1!B25*Hoja1!D25</f>
        <v>600</v>
      </c>
      <c r="D10">
        <f>Hoja1!B25*Hoja1!D25</f>
        <v>600</v>
      </c>
    </row>
    <row r="11" spans="1:4" x14ac:dyDescent="0.2">
      <c r="A11">
        <f>Hoja1!B26*Hoja1!C26</f>
        <v>1534</v>
      </c>
      <c r="B11">
        <f>Hoja1!B26*Hoja1!C26</f>
        <v>1534</v>
      </c>
      <c r="C11">
        <f>Hoja1!B26*Hoja1!D26</f>
        <v>400</v>
      </c>
      <c r="D11">
        <f>Hoja1!B26*Hoja1!D26</f>
        <v>400</v>
      </c>
    </row>
    <row r="12" spans="1:4" x14ac:dyDescent="0.2">
      <c r="A12">
        <f>Hoja1!B27*Hoja1!C27</f>
        <v>928</v>
      </c>
      <c r="B12">
        <f>Hoja1!B27*Hoja1!C27</f>
        <v>928</v>
      </c>
      <c r="C12">
        <f>Hoja1!B27*Hoja1!D27</f>
        <v>400</v>
      </c>
      <c r="D12">
        <f>Hoja1!B27*Hoja1!D27</f>
        <v>400</v>
      </c>
    </row>
    <row r="13" spans="1:4" x14ac:dyDescent="0.2">
      <c r="A13">
        <f>Hoja1!B28*Hoja1!C28</f>
        <v>440</v>
      </c>
      <c r="B13">
        <f>Hoja1!B28*Hoja1!C28</f>
        <v>440</v>
      </c>
      <c r="C13">
        <f>Hoja1!B28*Hoja1!D28</f>
        <v>1650</v>
      </c>
      <c r="D13">
        <f>Hoja1!B28*Hoja1!D28</f>
        <v>1650</v>
      </c>
    </row>
    <row r="14" spans="1:4" x14ac:dyDescent="0.2">
      <c r="A14">
        <f>Hoja1!B29*Hoja1!C29</f>
        <v>297</v>
      </c>
      <c r="B14">
        <f>Hoja1!B29*Hoja1!C29</f>
        <v>297</v>
      </c>
      <c r="C14">
        <f>Hoja1!B29*Hoja1!D29</f>
        <v>825</v>
      </c>
      <c r="D14">
        <f>Hoja1!B29*Hoja1!D29</f>
        <v>825</v>
      </c>
    </row>
    <row r="15" spans="1:4" x14ac:dyDescent="0.2">
      <c r="A15">
        <f>Hoja1!B30*Hoja1!C30</f>
        <v>604</v>
      </c>
      <c r="B15">
        <f>Hoja1!B30*Hoja1!C30</f>
        <v>604</v>
      </c>
      <c r="C15">
        <f>Hoja1!B30*Hoja1!D30</f>
        <v>100</v>
      </c>
      <c r="D15">
        <f>Hoja1!B30*Hoja1!D30</f>
        <v>100</v>
      </c>
    </row>
    <row r="16" spans="1:4" x14ac:dyDescent="0.2">
      <c r="A16">
        <f>Hoja1!B31*Hoja1!C31</f>
        <v>604</v>
      </c>
      <c r="B16">
        <f>Hoja1!B31*Hoja1!C31</f>
        <v>604</v>
      </c>
      <c r="C16">
        <f>Hoja1!B31*Hoja1!D31</f>
        <v>62</v>
      </c>
      <c r="D16">
        <f>Hoja1!B31*Hoja1!D31</f>
        <v>62</v>
      </c>
    </row>
    <row r="17" spans="1:4" x14ac:dyDescent="0.2">
      <c r="A17">
        <f>Hoja1!B32*Hoja1!C32</f>
        <v>604</v>
      </c>
      <c r="B17">
        <f>Hoja1!B32*Hoja1!C32</f>
        <v>604</v>
      </c>
      <c r="C17">
        <f>Hoja1!B32*Hoja1!D32</f>
        <v>48</v>
      </c>
      <c r="D17">
        <f>Hoja1!B32*Hoja1!D32</f>
        <v>48</v>
      </c>
    </row>
    <row r="18" spans="1:4" x14ac:dyDescent="0.2">
      <c r="A18">
        <f>Hoja1!B33*Hoja1!C33</f>
        <v>604</v>
      </c>
      <c r="B18">
        <f>Hoja1!B33*Hoja1!C33</f>
        <v>604</v>
      </c>
      <c r="C18">
        <f>Hoja1!B33*Hoja1!D33</f>
        <v>560</v>
      </c>
      <c r="D18">
        <f>Hoja1!B33*Hoja1!D33</f>
        <v>560</v>
      </c>
    </row>
    <row r="19" spans="1:4" x14ac:dyDescent="0.2">
      <c r="A19">
        <f>Hoja1!B34*Hoja1!C34</f>
        <v>1616</v>
      </c>
      <c r="B19">
        <f>Hoja1!B34*Hoja1!C34</f>
        <v>1616</v>
      </c>
      <c r="C19">
        <f>Hoja1!B34*Hoja1!D34</f>
        <v>632</v>
      </c>
      <c r="D19">
        <f>Hoja1!B34*Hoja1!D34</f>
        <v>632</v>
      </c>
    </row>
    <row r="20" spans="1:4" x14ac:dyDescent="0.2">
      <c r="A20">
        <f>Hoja1!B35*Hoja1!C35</f>
        <v>544</v>
      </c>
      <c r="B20">
        <f>Hoja1!B35*Hoja1!C35</f>
        <v>544</v>
      </c>
      <c r="C20">
        <f>Hoja1!B35*Hoja1!D35</f>
        <v>100</v>
      </c>
      <c r="D20">
        <f>Hoja1!B35*Hoja1!D35</f>
        <v>100</v>
      </c>
    </row>
    <row r="21" spans="1:4" x14ac:dyDescent="0.2">
      <c r="A21">
        <f>Hoja1!B36*Hoja1!C36</f>
        <v>1088</v>
      </c>
      <c r="B21">
        <f>Hoja1!B36*Hoja1!C36</f>
        <v>1088</v>
      </c>
      <c r="C21">
        <f>Hoja1!B36*Hoja1!D36</f>
        <v>124</v>
      </c>
      <c r="D21">
        <f>Hoja1!B36*Hoja1!D36</f>
        <v>124</v>
      </c>
    </row>
    <row r="22" spans="1:4" x14ac:dyDescent="0.2">
      <c r="A22">
        <f>Hoja1!B37*Hoja1!C37</f>
        <v>1632</v>
      </c>
      <c r="B22">
        <f>Hoja1!B37*Hoja1!C37</f>
        <v>1632</v>
      </c>
      <c r="C22">
        <f>Hoja1!B37*Hoja1!D37</f>
        <v>144</v>
      </c>
      <c r="D22">
        <f>Hoja1!B37*Hoja1!D37</f>
        <v>144</v>
      </c>
    </row>
    <row r="23" spans="1:4" x14ac:dyDescent="0.2">
      <c r="A23">
        <f>Hoja1!B38*Hoja1!C38</f>
        <v>2068</v>
      </c>
      <c r="B23">
        <f>Hoja1!B38*Hoja1!C38</f>
        <v>2068</v>
      </c>
      <c r="C23">
        <f>Hoja1!B38*Hoja1!D38</f>
        <v>600</v>
      </c>
      <c r="D23">
        <f>Hoja1!B38*Hoja1!D38</f>
        <v>600</v>
      </c>
    </row>
    <row r="24" spans="1:4" x14ac:dyDescent="0.2">
      <c r="A24">
        <f>Hoja1!B39*Hoja1!C39</f>
        <v>1856</v>
      </c>
      <c r="B24">
        <f>Hoja1!B39*Hoja1!C39</f>
        <v>1856</v>
      </c>
      <c r="C24">
        <f>Hoja1!B39*Hoja1!D39</f>
        <v>600</v>
      </c>
      <c r="D24">
        <f>Hoja1!B39*Hoja1!D39</f>
        <v>600</v>
      </c>
    </row>
    <row r="25" spans="1:4" x14ac:dyDescent="0.2">
      <c r="A25">
        <f>Hoja1!B40*Hoja1!C40</f>
        <v>1034</v>
      </c>
      <c r="B25">
        <f>Hoja1!B40*Hoja1!C40</f>
        <v>1034</v>
      </c>
      <c r="C25">
        <f>Hoja1!B40*Hoja1!D40</f>
        <v>400</v>
      </c>
      <c r="D25">
        <f>Hoja1!B40*Hoja1!D40</f>
        <v>400</v>
      </c>
    </row>
    <row r="26" spans="1:4" x14ac:dyDescent="0.2">
      <c r="A26">
        <f>Hoja1!B41*Hoja1!C41</f>
        <v>928</v>
      </c>
      <c r="B26">
        <f>Hoja1!B41*Hoja1!C41</f>
        <v>928</v>
      </c>
      <c r="C26">
        <f>Hoja1!B41*Hoja1!D41</f>
        <v>400</v>
      </c>
      <c r="D26">
        <f>Hoja1!B41*Hoja1!D41</f>
        <v>400</v>
      </c>
    </row>
    <row r="27" spans="1:4" x14ac:dyDescent="0.2">
      <c r="A27">
        <f>Hoja1!B42*Hoja1!C42</f>
        <v>440</v>
      </c>
      <c r="B27">
        <f>Hoja1!B42*Hoja1!C42</f>
        <v>440</v>
      </c>
      <c r="C27">
        <f>Hoja1!B42*Hoja1!D42</f>
        <v>1152</v>
      </c>
      <c r="D27">
        <f>Hoja1!B42*Hoja1!D42</f>
        <v>1152</v>
      </c>
    </row>
    <row r="28" spans="1:4" x14ac:dyDescent="0.2">
      <c r="A28">
        <f>Hoja1!B43*Hoja1!C43</f>
        <v>297</v>
      </c>
      <c r="B28">
        <f>Hoja1!B43*Hoja1!C43</f>
        <v>297</v>
      </c>
      <c r="C28">
        <f>Hoja1!B43*Hoja1!D43</f>
        <v>576</v>
      </c>
      <c r="D28">
        <f>Hoja1!B43*Hoja1!D43</f>
        <v>576</v>
      </c>
    </row>
    <row r="29" spans="1:4" x14ac:dyDescent="0.2">
      <c r="A29">
        <f>Hoja1!B44*Hoja1!C44</f>
        <v>264</v>
      </c>
      <c r="B29">
        <f>Hoja1!B44*Hoja1!C44</f>
        <v>264</v>
      </c>
      <c r="C29">
        <f>Hoja1!B44*Hoja1!D44</f>
        <v>100</v>
      </c>
      <c r="D29">
        <f>Hoja1!B44*Hoja1!D44</f>
        <v>100</v>
      </c>
    </row>
    <row r="30" spans="1:4" x14ac:dyDescent="0.2">
      <c r="A30">
        <f>Hoja1!B45*Hoja1!C45</f>
        <v>1088</v>
      </c>
      <c r="B30">
        <f>Hoja1!B45*Hoja1!C45</f>
        <v>1088</v>
      </c>
      <c r="C30">
        <f>Hoja1!B45*Hoja1!D45</f>
        <v>124</v>
      </c>
      <c r="D30">
        <f>Hoja1!B45*Hoja1!D45</f>
        <v>124</v>
      </c>
    </row>
    <row r="31" spans="1:4" x14ac:dyDescent="0.2">
      <c r="A31">
        <f>Hoja1!B46*Hoja1!C46</f>
        <v>1632</v>
      </c>
      <c r="B31">
        <f>Hoja1!B46*Hoja1!C46</f>
        <v>1632</v>
      </c>
      <c r="C31">
        <f>Hoja1!B46*Hoja1!D46</f>
        <v>144</v>
      </c>
      <c r="D31">
        <f>Hoja1!B46*Hoja1!D46</f>
        <v>144</v>
      </c>
    </row>
    <row r="32" spans="1:4" x14ac:dyDescent="0.2">
      <c r="A32">
        <f>Hoja1!B47*Hoja1!C47</f>
        <v>948</v>
      </c>
      <c r="B32">
        <f>Hoja1!B47*Hoja1!C47</f>
        <v>948</v>
      </c>
      <c r="C32">
        <f>Hoja1!B47*Hoja1!D47</f>
        <v>600</v>
      </c>
      <c r="D32">
        <f>Hoja1!B47*Hoja1!D47</f>
        <v>600</v>
      </c>
    </row>
    <row r="33" spans="1:4" x14ac:dyDescent="0.2">
      <c r="A33">
        <f>Hoja1!B48*Hoja1!C48</f>
        <v>1856</v>
      </c>
      <c r="B33">
        <f>Hoja1!B48*Hoja1!C48</f>
        <v>1856</v>
      </c>
      <c r="C33">
        <f>Hoja1!B48*Hoja1!D48</f>
        <v>600</v>
      </c>
      <c r="D33">
        <f>Hoja1!B48*Hoja1!D48</f>
        <v>600</v>
      </c>
    </row>
    <row r="34" spans="1:4" x14ac:dyDescent="0.2">
      <c r="A34">
        <f>Hoja1!B49*Hoja1!C49</f>
        <v>808</v>
      </c>
      <c r="B34">
        <f>Hoja1!B49*Hoja1!C49</f>
        <v>808</v>
      </c>
      <c r="C34">
        <f>Hoja1!B49*Hoja1!D49</f>
        <v>296</v>
      </c>
      <c r="D34">
        <f>Hoja1!B49*Hoja1!D49</f>
        <v>296</v>
      </c>
    </row>
    <row r="35" spans="1:4" x14ac:dyDescent="0.2">
      <c r="A35">
        <f>Hoja1!B50*Hoja1!C50</f>
        <v>3984</v>
      </c>
      <c r="B35">
        <f>Hoja1!B50*Hoja1!C50</f>
        <v>3984</v>
      </c>
      <c r="C35">
        <f>Hoja1!B50*Hoja1!D50</f>
        <v>1800</v>
      </c>
      <c r="D35">
        <f>Hoja1!B50*Hoja1!D50</f>
        <v>1800</v>
      </c>
    </row>
    <row r="36" spans="1:4" x14ac:dyDescent="0.2">
      <c r="A36">
        <f>Hoja1!B51*Hoja1!C51</f>
        <v>728</v>
      </c>
      <c r="B36">
        <f>Hoja1!B51*Hoja1!C51</f>
        <v>728</v>
      </c>
      <c r="C36">
        <f>Hoja1!B51*Hoja1!D51</f>
        <v>600</v>
      </c>
      <c r="D36">
        <f>Hoja1!B51*Hoja1!D51</f>
        <v>600</v>
      </c>
    </row>
    <row r="37" spans="1:4" x14ac:dyDescent="0.2">
      <c r="A37">
        <f>Hoja1!B52*Hoja1!C52</f>
        <v>636</v>
      </c>
      <c r="B37">
        <f>Hoja1!B52*Hoja1!C52</f>
        <v>636</v>
      </c>
      <c r="C37">
        <f>Hoja1!B52*Hoja1!D52</f>
        <v>600</v>
      </c>
      <c r="D37">
        <f>Hoja1!B52*Hoja1!D52</f>
        <v>600</v>
      </c>
    </row>
    <row r="38" spans="1:4" x14ac:dyDescent="0.2">
      <c r="A38">
        <f>Hoja1!B53*Hoja1!C53</f>
        <v>1240</v>
      </c>
      <c r="B38">
        <f>Hoja1!B53*Hoja1!C53</f>
        <v>1240</v>
      </c>
      <c r="C38">
        <f>Hoja1!B53*Hoja1!D53</f>
        <v>1200</v>
      </c>
      <c r="D38">
        <f>Hoja1!B53*Hoja1!D53</f>
        <v>1200</v>
      </c>
    </row>
    <row r="39" spans="1:4" x14ac:dyDescent="0.2">
      <c r="A39">
        <f>Hoja1!B54*Hoja1!C54</f>
        <v>1300</v>
      </c>
      <c r="B39">
        <f>Hoja1!B54*Hoja1!C54</f>
        <v>1300</v>
      </c>
      <c r="C39">
        <f>Hoja1!B54*Hoja1!D54</f>
        <v>600</v>
      </c>
      <c r="D39">
        <f>Hoja1!B54*Hoja1!D54</f>
        <v>600</v>
      </c>
    </row>
    <row r="40" spans="1:4" x14ac:dyDescent="0.2">
      <c r="A40">
        <f>Hoja1!B55*Hoja1!C55</f>
        <v>4760</v>
      </c>
      <c r="B40">
        <f>Hoja1!B55*Hoja1!C55</f>
        <v>4760</v>
      </c>
      <c r="C40">
        <f>Hoja1!B55*Hoja1!D55</f>
        <v>2100</v>
      </c>
      <c r="D40">
        <f>Hoja1!B55*Hoja1!D55</f>
        <v>2100</v>
      </c>
    </row>
    <row r="41" spans="1:4" x14ac:dyDescent="0.2">
      <c r="A41">
        <f>Hoja1!B56*Hoja1!C56</f>
        <v>680</v>
      </c>
      <c r="B41">
        <f>Hoja1!B56*Hoja1!C56</f>
        <v>680</v>
      </c>
      <c r="C41">
        <f>Hoja1!B56*Hoja1!D56</f>
        <v>450</v>
      </c>
      <c r="D41">
        <f>Hoja1!B56*Hoja1!D56</f>
        <v>450</v>
      </c>
    </row>
    <row r="42" spans="1:4" x14ac:dyDescent="0.2">
      <c r="A42">
        <f>Hoja1!B57*Hoja1!C57</f>
        <v>1200</v>
      </c>
      <c r="B42">
        <f>Hoja1!B57*Hoja1!C57</f>
        <v>1200</v>
      </c>
      <c r="C42">
        <f>Hoja1!B57*Hoja1!D57</f>
        <v>600</v>
      </c>
      <c r="D42">
        <f>Hoja1!B57*Hoja1!D57</f>
        <v>600</v>
      </c>
    </row>
    <row r="43" spans="1:4" x14ac:dyDescent="0.2">
      <c r="A43">
        <f>Hoja1!B58*Hoja1!C58</f>
        <v>600</v>
      </c>
      <c r="B43">
        <f>Hoja1!B58*Hoja1!C58</f>
        <v>600</v>
      </c>
      <c r="C43">
        <f>Hoja1!B58*Hoja1!D58</f>
        <v>600</v>
      </c>
      <c r="D43">
        <f>Hoja1!B58*Hoja1!D58</f>
        <v>600</v>
      </c>
    </row>
    <row r="44" spans="1:4" x14ac:dyDescent="0.2">
      <c r="A44">
        <f>Hoja1!B59*Hoja1!C59</f>
        <v>614</v>
      </c>
      <c r="B44">
        <f>Hoja1!B59*Hoja1!C59</f>
        <v>614</v>
      </c>
      <c r="C44">
        <f>Hoja1!B59*Hoja1!D59</f>
        <v>300</v>
      </c>
      <c r="D44">
        <f>Hoja1!B59*Hoja1!D59</f>
        <v>300</v>
      </c>
    </row>
    <row r="45" spans="1:4" x14ac:dyDescent="0.2">
      <c r="A45">
        <f>Hoja1!B60*Hoja1!C60</f>
        <v>1200</v>
      </c>
      <c r="B45">
        <f>Hoja1!B60*Hoja1!C60</f>
        <v>1200</v>
      </c>
      <c r="C45">
        <f>Hoja1!B60*Hoja1!D60</f>
        <v>2400</v>
      </c>
      <c r="D45">
        <f>Hoja1!B60*Hoja1!D60</f>
        <v>2400</v>
      </c>
    </row>
    <row r="46" spans="1:4" x14ac:dyDescent="0.2">
      <c r="A46">
        <f>Hoja1!B61*Hoja1!C61</f>
        <v>1288</v>
      </c>
      <c r="B46">
        <f>Hoja1!B61*Hoja1!C61</f>
        <v>1288</v>
      </c>
      <c r="C46">
        <f>Hoja1!B61*Hoja1!D61</f>
        <v>600</v>
      </c>
      <c r="D46">
        <f>Hoja1!B61*Hoja1!D61</f>
        <v>600</v>
      </c>
    </row>
    <row r="47" spans="1:4" x14ac:dyDescent="0.2">
      <c r="A47">
        <f>Hoja1!B62*Hoja1!C62</f>
        <v>264</v>
      </c>
      <c r="B47">
        <f>Hoja1!B62*Hoja1!C62</f>
        <v>264</v>
      </c>
      <c r="C47">
        <f>Hoja1!B62*Hoja1!D62</f>
        <v>300</v>
      </c>
      <c r="D47">
        <f>Hoja1!B62*Hoja1!D62</f>
        <v>300</v>
      </c>
    </row>
    <row r="48" spans="1:4" x14ac:dyDescent="0.2">
      <c r="A48">
        <f>Hoja1!B63*Hoja1!C63</f>
        <v>716</v>
      </c>
      <c r="B48">
        <f>Hoja1!B63*Hoja1!C63</f>
        <v>716</v>
      </c>
      <c r="C48">
        <f>Hoja1!B63*Hoja1!D63</f>
        <v>296</v>
      </c>
      <c r="D48">
        <f>Hoja1!B63*Hoja1!D63</f>
        <v>296</v>
      </c>
    </row>
    <row r="49" spans="1:4" x14ac:dyDescent="0.2">
      <c r="A49">
        <f>Hoja1!B64*Hoja1!C64</f>
        <v>418</v>
      </c>
      <c r="B49">
        <f>Hoja1!B64*Hoja1!C64</f>
        <v>418</v>
      </c>
      <c r="C49">
        <f>Hoja1!B64*Hoja1!D64</f>
        <v>596</v>
      </c>
      <c r="D49">
        <f>Hoja1!B64*Hoja1!D64</f>
        <v>596</v>
      </c>
    </row>
    <row r="50" spans="1:4" x14ac:dyDescent="0.2">
      <c r="A50">
        <f>Hoja1!B65*Hoja1!C65</f>
        <v>2864</v>
      </c>
      <c r="B50">
        <f>Hoja1!B65*Hoja1!C65</f>
        <v>2864</v>
      </c>
      <c r="C50">
        <f>Hoja1!B65*Hoja1!D65</f>
        <v>1344</v>
      </c>
      <c r="D50">
        <f>Hoja1!B65*Hoja1!D65</f>
        <v>1344</v>
      </c>
    </row>
    <row r="51" spans="1:4" x14ac:dyDescent="0.2">
      <c r="A51">
        <f>Hoja1!B66*Hoja1!C66</f>
        <v>676</v>
      </c>
      <c r="B51">
        <f>Hoja1!B66*Hoja1!C66</f>
        <v>676</v>
      </c>
      <c r="C51">
        <f>Hoja1!B66*Hoja1!D66</f>
        <v>342</v>
      </c>
      <c r="D51">
        <f>Hoja1!B66*Hoja1!D66</f>
        <v>342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2025-03-10T12:34:24Z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