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2\"/>
    </mc:Choice>
  </mc:AlternateContent>
  <xr:revisionPtr revIDLastSave="0" documentId="13_ncr:1_{572E1368-3179-4194-BBD7-E391543AF17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<sst xmlns="http://schemas.openxmlformats.org/spreadsheetml/2006/main" count="49" uniqueCount="39">
  <si>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</si>
  <si>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</si>
  <si>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</si>
  <si>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</si>
  <si>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</si>
  <si>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</si>
  <si>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</si>
  <si>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</si>
  <si>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</si>
  <si>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</si>
  <si>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</si>
  <si>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</si>
  <si>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</si>
  <si>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</si>
  <si>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</si>
  <si>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</si>
  <si>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</si>
  <si>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</si>
  <si>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</si>
  <si>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</si>
  <si>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</si>
  <si>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</si>
  <si>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</si>
  <si>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</si>
  <si>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</si>
  <si>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</si>
  <si>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</si>
  <si>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</si>
  <si>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045 scotch</t>
  </si>
  <si>
    <t>tapa cajon</t>
  </si>
  <si>
    <t>base sup</t>
  </si>
  <si>
    <t>base inf</t>
  </si>
  <si>
    <t>lat canojero</t>
  </si>
  <si>
    <t xml:space="preserve">base final </t>
  </si>
  <si>
    <t>zocalo</t>
  </si>
  <si>
    <t>manija abjo</t>
  </si>
  <si>
    <t>manija verti</t>
  </si>
  <si>
    <t>base doble</t>
  </si>
  <si>
    <t>lat 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</si>
</sst>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D28" sqref="D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168.27099999999999</v>
      </c>
      <c r="F3" s="47">
        <v>9134116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30.851099999999999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3</v>
      </c>
      <c r="C16" s="23">
        <v>580</v>
      </c>
      <c r="D16" s="24">
        <v>580</v>
      </c>
      <c r="E16" s="25" t="s">
        <v>31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3.48</v>
      </c>
      <c r="Q16">
        <v>1</v>
      </c>
      <c r="R16" s="34">
        <f>((SUMIF(G16:G1016,D3,Hoja3!A1:A1001)+SUMIF(H16:H1016,D3,Hoja3!B1:B1001)+SUMIF(I16:I1016,D3,Hoja3!C1:C1001)+SUMIF(J16:J1016,D3,Hoja3!D1:D1001))/1000)*1.05</f>
        <v>30.851100000000002</v>
      </c>
      <c r="S16" s="35" t="str">
        <f t="shared" ref="S16:S23" si="1">A3</f>
        <v>045 scotch</v>
      </c>
    </row>
    <row r="17" spans="1:19" ht="15.75" x14ac:dyDescent="0.25">
      <c r="A17" s="21">
        <v>9134116</v>
      </c>
      <c r="B17" s="22">
        <v>3</v>
      </c>
      <c r="C17" s="23">
        <v>580</v>
      </c>
      <c r="D17" s="24">
        <v>544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3.48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9134116</v>
      </c>
      <c r="B18" s="22">
        <v>6</v>
      </c>
      <c r="C18" s="23">
        <v>580</v>
      </c>
      <c r="D18" s="24">
        <v>264</v>
      </c>
      <c r="E18" s="25" t="s">
        <v>32</v>
      </c>
      <c r="F18" s="25"/>
      <c r="G18" s="36"/>
      <c r="H18" s="36"/>
      <c r="I18" s="36">
        <v>1</v>
      </c>
      <c r="J18" s="36">
        <v>1</v>
      </c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18" s="33">
        <f t="shared" si="0"/>
        <v>3.1680000000000001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1</v>
      </c>
      <c r="C19" s="23">
        <v>1740</v>
      </c>
      <c r="D19" s="24">
        <v>600</v>
      </c>
      <c r="E19" s="25" t="s">
        <v>33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3.48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6</v>
      </c>
      <c r="C20" s="23">
        <v>517</v>
      </c>
      <c r="D20" s="24">
        <v>170</v>
      </c>
      <c r="E20" s="25" t="s">
        <v>27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0" s="33">
        <f t="shared" si="0"/>
        <v>5.1420000000000003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9134116</v>
      </c>
      <c r="B21" s="22">
        <v>6</v>
      </c>
      <c r="C21" s="23">
        <v>464</v>
      </c>
      <c r="D21" s="24">
        <v>170</v>
      </c>
      <c r="E21" s="25" t="s">
        <v>27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5.5679999999999996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9134116</v>
      </c>
      <c r="B22" s="22">
        <v>2</v>
      </c>
      <c r="C22" s="23">
        <v>1740</v>
      </c>
      <c r="D22" s="24">
        <v>70</v>
      </c>
      <c r="E22" s="25" t="s">
        <v>34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9134116</v>
      </c>
      <c r="B23" s="22">
        <v>2</v>
      </c>
      <c r="C23" s="23">
        <v>474</v>
      </c>
      <c r="D23" s="24">
        <v>70</v>
      </c>
      <c r="E23" s="25" t="s">
        <v>34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9134116</v>
      </c>
      <c r="B24" s="22">
        <v>1</v>
      </c>
      <c r="C24" s="23">
        <v>1740</v>
      </c>
      <c r="D24" s="24">
        <v>36</v>
      </c>
      <c r="E24" s="25" t="s">
        <v>35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30.851100000000002</v>
      </c>
      <c r="S24" s="39" t="s">
        <v>26</v>
      </c>
    </row>
    <row r="25" spans="1:19" x14ac:dyDescent="0.2">
      <c r="A25" s="21">
        <v>9134116</v>
      </c>
      <c r="B25" s="22">
        <v>1</v>
      </c>
      <c r="C25" s="23">
        <v>1740</v>
      </c>
      <c r="D25" s="24">
        <v>42</v>
      </c>
      <c r="E25" s="25" t="s">
        <v>36</v>
      </c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>
        <v>9134116</v>
      </c>
      <c r="B26" s="22">
        <v>3</v>
      </c>
      <c r="C26" s="23">
        <v>576</v>
      </c>
      <c r="D26" s="24">
        <v>268</v>
      </c>
      <c r="E26" s="25" t="s">
        <v>29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6" s="33">
        <f t="shared" si="0"/>
        <v>5.0640000000000001</v>
      </c>
    </row>
    <row r="27" spans="1:19" x14ac:dyDescent="0.2">
      <c r="A27" s="21">
        <v>9134116</v>
      </c>
      <c r="B27" s="22">
        <v>4</v>
      </c>
      <c r="C27" s="23">
        <v>539</v>
      </c>
      <c r="D27" s="24">
        <v>600</v>
      </c>
      <c r="E27" s="25" t="s">
        <v>38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>
        <v>9134116</v>
      </c>
      <c r="B28" s="22">
        <v>2</v>
      </c>
      <c r="C28" s="23">
        <v>1816</v>
      </c>
      <c r="D28" s="24">
        <v>600</v>
      </c>
      <c r="E28" s="25" t="s">
        <v>37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1740</v>
      </c>
      <c r="B1">
        <f>Hoja1!B16*Hoja1!C16</f>
        <v>1740</v>
      </c>
      <c r="C1">
        <f>Hoja1!B16*Hoja1!D16</f>
        <v>1740</v>
      </c>
      <c r="D1">
        <f>Hoja1!B16*Hoja1!D16</f>
        <v>1740</v>
      </c>
    </row>
    <row r="2" spans="1:4" x14ac:dyDescent="0.2">
      <c r="A2">
        <f>Hoja1!B17*Hoja1!C17</f>
        <v>1740</v>
      </c>
      <c r="B2">
        <f>Hoja1!B17*Hoja1!C17</f>
        <v>1740</v>
      </c>
      <c r="C2">
        <f>Hoja1!B17*Hoja1!D17</f>
        <v>1632</v>
      </c>
      <c r="D2">
        <f>Hoja1!B17*Hoja1!D17</f>
        <v>1632</v>
      </c>
    </row>
    <row r="3" spans="1:4" x14ac:dyDescent="0.2">
      <c r="A3">
        <f>Hoja1!B18*Hoja1!C18</f>
        <v>3480</v>
      </c>
      <c r="B3">
        <f>Hoja1!B18*Hoja1!C18</f>
        <v>3480</v>
      </c>
      <c r="C3">
        <f>Hoja1!B18*Hoja1!D18</f>
        <v>1584</v>
      </c>
      <c r="D3">
        <f>Hoja1!B18*Hoja1!D18</f>
        <v>1584</v>
      </c>
    </row>
    <row r="4" spans="1:4" x14ac:dyDescent="0.2">
      <c r="A4">
        <f>Hoja1!B19*Hoja1!C19</f>
        <v>1740</v>
      </c>
      <c r="B4">
        <f>Hoja1!B19*Hoja1!C19</f>
        <v>1740</v>
      </c>
      <c r="C4">
        <f>Hoja1!B19*Hoja1!D19</f>
        <v>600</v>
      </c>
      <c r="D4">
        <f>Hoja1!B19*Hoja1!D19</f>
        <v>600</v>
      </c>
    </row>
    <row r="5" spans="1:4" x14ac:dyDescent="0.2">
      <c r="A5">
        <f>Hoja1!B20*Hoja1!C20</f>
        <v>3102</v>
      </c>
      <c r="B5">
        <f>Hoja1!B20*Hoja1!C20</f>
        <v>3102</v>
      </c>
      <c r="C5">
        <f>Hoja1!B20*Hoja1!D20</f>
        <v>1020</v>
      </c>
      <c r="D5">
        <f>Hoja1!B20*Hoja1!D20</f>
        <v>1020</v>
      </c>
    </row>
    <row r="6" spans="1:4" x14ac:dyDescent="0.2">
      <c r="A6">
        <f>Hoja1!B21*Hoja1!C21</f>
        <v>2784</v>
      </c>
      <c r="B6">
        <f>Hoja1!B21*Hoja1!C21</f>
        <v>2784</v>
      </c>
      <c r="C6">
        <f>Hoja1!B21*Hoja1!D21</f>
        <v>1020</v>
      </c>
      <c r="D6">
        <f>Hoja1!B21*Hoja1!D21</f>
        <v>1020</v>
      </c>
    </row>
    <row r="7" spans="1:4" x14ac:dyDescent="0.2">
      <c r="A7">
        <f>Hoja1!B22*Hoja1!C22</f>
        <v>3480</v>
      </c>
      <c r="B7">
        <f>Hoja1!B22*Hoja1!C22</f>
        <v>3480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948</v>
      </c>
      <c r="B8">
        <f>Hoja1!B23*Hoja1!C23</f>
        <v>948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1740</v>
      </c>
      <c r="B9">
        <f>Hoja1!B24*Hoja1!C24</f>
        <v>1740</v>
      </c>
      <c r="C9">
        <f>Hoja1!B24*Hoja1!D24</f>
        <v>36</v>
      </c>
      <c r="D9">
        <f>Hoja1!B24*Hoja1!D24</f>
        <v>36</v>
      </c>
    </row>
    <row r="10" spans="1:4" x14ac:dyDescent="0.2">
      <c r="A10">
        <f>Hoja1!B25*Hoja1!C25</f>
        <v>1740</v>
      </c>
      <c r="B10">
        <f>Hoja1!B25*Hoja1!C25</f>
        <v>1740</v>
      </c>
      <c r="C10">
        <f>Hoja1!B25*Hoja1!D25</f>
        <v>42</v>
      </c>
      <c r="D10">
        <f>Hoja1!B25*Hoja1!D25</f>
        <v>42</v>
      </c>
    </row>
    <row r="11" spans="1:4" x14ac:dyDescent="0.2">
      <c r="A11">
        <f>Hoja1!B26*Hoja1!C26</f>
        <v>1728</v>
      </c>
      <c r="B11">
        <f>Hoja1!B26*Hoja1!C26</f>
        <v>1728</v>
      </c>
      <c r="C11">
        <f>Hoja1!B26*Hoja1!D26</f>
        <v>804</v>
      </c>
      <c r="D11">
        <f>Hoja1!B26*Hoja1!D26</f>
        <v>804</v>
      </c>
    </row>
    <row r="12" spans="1:4" x14ac:dyDescent="0.2">
      <c r="A12">
        <f>Hoja1!B27*Hoja1!C27</f>
        <v>2156</v>
      </c>
      <c r="B12">
        <f>Hoja1!B27*Hoja1!C27</f>
        <v>2156</v>
      </c>
      <c r="C12">
        <f>Hoja1!B27*Hoja1!D27</f>
        <v>2400</v>
      </c>
      <c r="D12">
        <f>Hoja1!B27*Hoja1!D27</f>
        <v>2400</v>
      </c>
    </row>
    <row r="13" spans="1:4" x14ac:dyDescent="0.2">
      <c r="A13">
        <f>Hoja1!B28*Hoja1!C28</f>
        <v>3632</v>
      </c>
      <c r="B13">
        <f>Hoja1!B28*Hoja1!C28</f>
        <v>3632</v>
      </c>
      <c r="C13">
        <f>Hoja1!B28*Hoja1!D28</f>
        <v>1200</v>
      </c>
      <c r="D13">
        <f>Hoja1!B28*Hoja1!D28</f>
        <v>1200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2025-04-08T02:25:05Z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