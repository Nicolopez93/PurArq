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franco fernandez\proyecto 012\"/>
    </mc:Choice>
  </mc:AlternateContent>
  <xr:revisionPtr revIDLastSave="0" documentId="13_ncr:1_{127EFDEC-FCBD-47ED-8B2F-96787DBEECBA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<sst xmlns="http://schemas.openxmlformats.org/spreadsheetml/2006/main" count="50" uniqueCount="40">
  <si>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</si>
  <si>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</si>
  <si>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</si>
  <si>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</si>
  <si>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</si>
  <si>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</si>
  <si>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</si>
  <si>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</si>
  <si>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</si>
  <si>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</si>
  <si>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</si>
  <si>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</si>
  <si>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</si>
  <si>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</si>
  <si>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</si>
  <si>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</si>
  <si>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</si>
  <si>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</si>
  <si>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</si>
  <si>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</si>
  <si>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</si>
  <si>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</si>
  <si>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</si>
  <si>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</si>
  <si>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</si>
  <si>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</si>
  <si>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</si>
  <si>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 xml:space="preserve">base </t>
  </si>
  <si>
    <t xml:space="preserve">lat </t>
  </si>
  <si>
    <t>estante</t>
  </si>
  <si>
    <t xml:space="preserve">040 Negro </t>
  </si>
  <si>
    <t>base medio</t>
  </si>
  <si>
    <t xml:space="preserve">lat medio </t>
  </si>
  <si>
    <t>lat cajon</t>
  </si>
  <si>
    <t>int cajon</t>
  </si>
  <si>
    <t>puertas</t>
  </si>
  <si>
    <t>tapa cajon</t>
  </si>
  <si>
    <t>040 Scotch</t>
  </si>
  <si>
    <t>tapa final</t>
  </si>
  <si>
    <t xml:space="preserve">lat final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</si>
</sst>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A28" sqref="A28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30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133.358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37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63.648000000000003</v>
      </c>
      <c r="F4" s="45">
        <v>9134116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36.315300000000001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4</v>
      </c>
      <c r="C16" s="23">
        <v>536</v>
      </c>
      <c r="D16" s="24">
        <v>332</v>
      </c>
      <c r="E16" s="25" t="s">
        <v>27</v>
      </c>
      <c r="F16" s="26"/>
      <c r="G16" s="27">
        <v>1</v>
      </c>
      <c r="H16" s="28">
        <v>1</v>
      </c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4.2880000000000003</v>
      </c>
      <c r="Q16">
        <v>1</v>
      </c>
      <c r="R16" s="34">
        <f>((SUMIF(G16:G1016,D3,Hoja3!A1:A1001)+SUMIF(H16:H1016,D3,Hoja3!B1:B1001)+SUMIF(I16:I1016,D3,Hoja3!C1:C1001)+SUMIF(J16:J1016,D3,Hoja3!D1:D1001))/1000)*1.05</f>
        <v>21.915600000000001</v>
      </c>
      <c r="S16" s="35" t="str">
        <f t="shared" ref="S16:S23" si="1">A3</f>
        <v xml:space="preserve">040 Negro </v>
      </c>
    </row>
    <row r="17" spans="1:19" ht="15.75" x14ac:dyDescent="0.25">
      <c r="A17" s="21">
        <v>9119872</v>
      </c>
      <c r="B17" s="22">
        <v>4</v>
      </c>
      <c r="C17" s="23">
        <v>473</v>
      </c>
      <c r="D17" s="24">
        <v>332</v>
      </c>
      <c r="E17" s="25" t="s">
        <v>28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3.7839999999999998</v>
      </c>
      <c r="Q17">
        <v>2</v>
      </c>
      <c r="R17" s="34">
        <f>((SUMIF(G16:G1016,D4,Hoja3!A1:A1001)+SUMIF(H16:H1016,D4,Hoja3!B1:B1001)+SUMIF(I16:I1016,D4,Hoja3!C1:C1001)+SUMIF(J16:J1016,D4,Hoja3!D1:D1001))/1000)*1.05</f>
        <v>14.399700000000001</v>
      </c>
      <c r="S17" s="35" t="str">
        <f t="shared" si="1"/>
        <v>040 Scotch</v>
      </c>
    </row>
    <row r="18" spans="1:19" ht="15.75" x14ac:dyDescent="0.25">
      <c r="A18" s="21">
        <v>9119872</v>
      </c>
      <c r="B18" s="22">
        <v>2</v>
      </c>
      <c r="C18" s="23">
        <v>500</v>
      </c>
      <c r="D18" s="24">
        <v>332</v>
      </c>
      <c r="E18" s="25" t="s">
        <v>29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2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2</v>
      </c>
      <c r="C19" s="23">
        <v>728</v>
      </c>
      <c r="D19" s="24">
        <v>332</v>
      </c>
      <c r="E19" s="25" t="s">
        <v>31</v>
      </c>
      <c r="F19" s="25"/>
      <c r="G19" s="36">
        <v>1</v>
      </c>
      <c r="H19" s="36">
        <v>1</v>
      </c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2.9119999999999999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9134116</v>
      </c>
      <c r="B20" s="22">
        <v>2</v>
      </c>
      <c r="C20" s="23">
        <v>200</v>
      </c>
      <c r="D20" s="24">
        <v>332</v>
      </c>
      <c r="E20" s="25" t="s">
        <v>32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2</v>
      </c>
      <c r="C21" s="23">
        <v>237</v>
      </c>
      <c r="D21" s="24">
        <v>332</v>
      </c>
      <c r="E21" s="25" t="s">
        <v>33</v>
      </c>
      <c r="F21" s="25"/>
      <c r="G21" s="37">
        <v>1</v>
      </c>
      <c r="H21" s="37">
        <v>1</v>
      </c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0.94799999999999995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9134116</v>
      </c>
      <c r="B22" s="22">
        <v>2</v>
      </c>
      <c r="C22" s="23">
        <v>665</v>
      </c>
      <c r="D22" s="24">
        <v>150</v>
      </c>
      <c r="E22" s="25" t="s">
        <v>34</v>
      </c>
      <c r="F22" s="25"/>
      <c r="G22" s="36">
        <v>2</v>
      </c>
      <c r="H22" s="36"/>
      <c r="I22" s="36">
        <v>2</v>
      </c>
      <c r="J22" s="36">
        <v>2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2" s="33">
        <f t="shared" si="0"/>
        <v>1.93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9134116</v>
      </c>
      <c r="B23" s="22">
        <v>2</v>
      </c>
      <c r="C23" s="23">
        <v>264</v>
      </c>
      <c r="D23" s="24">
        <v>150</v>
      </c>
      <c r="E23" s="25" t="s">
        <v>34</v>
      </c>
      <c r="F23" s="25"/>
      <c r="G23" s="37">
        <v>2</v>
      </c>
      <c r="H23" s="37">
        <v>2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1.056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2</v>
      </c>
      <c r="C24" s="23">
        <v>532</v>
      </c>
      <c r="D24" s="24">
        <v>506</v>
      </c>
      <c r="E24" s="25" t="s">
        <v>35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24" s="33">
        <f t="shared" si="0"/>
        <v>4.1520000000000001</v>
      </c>
      <c r="R24" s="38">
        <f>SUM(R16:R23)</f>
        <v>36.315300000000001</v>
      </c>
      <c r="S24" s="39" t="s">
        <v>26</v>
      </c>
    </row>
    <row r="25" spans="1:19" x14ac:dyDescent="0.2">
      <c r="A25" s="21">
        <v>9119872</v>
      </c>
      <c r="B25" s="22">
        <v>1</v>
      </c>
      <c r="C25" s="23">
        <v>724</v>
      </c>
      <c r="D25" s="24">
        <v>270</v>
      </c>
      <c r="E25" s="25" t="s">
        <v>36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Negro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Negro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Negro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Negro </v>
      </c>
      <c r="O25" s="33">
        <f t="shared" si="0"/>
        <v>1.988</v>
      </c>
    </row>
    <row r="26" spans="1:19" x14ac:dyDescent="0.2">
      <c r="A26" s="21">
        <v>9134116</v>
      </c>
      <c r="B26" s="22">
        <v>1</v>
      </c>
      <c r="C26" s="23">
        <v>1840</v>
      </c>
      <c r="D26" s="24">
        <v>350</v>
      </c>
      <c r="E26" s="25" t="s">
        <v>38</v>
      </c>
      <c r="F26" s="25"/>
      <c r="G26" s="37">
        <v>2</v>
      </c>
      <c r="H26" s="37">
        <v>2</v>
      </c>
      <c r="I26" s="37">
        <v>2</v>
      </c>
      <c r="J26" s="37">
        <v>2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6" s="33">
        <f t="shared" si="0"/>
        <v>4.38</v>
      </c>
    </row>
    <row r="27" spans="1:19" x14ac:dyDescent="0.2">
      <c r="A27" s="21">
        <v>9134116</v>
      </c>
      <c r="B27" s="22">
        <v>2</v>
      </c>
      <c r="C27" s="23">
        <v>509</v>
      </c>
      <c r="D27" s="24">
        <v>350</v>
      </c>
      <c r="E27" s="25" t="s">
        <v>39</v>
      </c>
      <c r="F27" s="25"/>
      <c r="G27" s="37">
        <v>2</v>
      </c>
      <c r="H27" s="37">
        <v>2</v>
      </c>
      <c r="I27" s="37">
        <v>2</v>
      </c>
      <c r="J27" s="37">
        <v>2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040 Scotch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040 Scotch</v>
      </c>
      <c r="O27" s="33">
        <f t="shared" si="0"/>
        <v>3.4359999999999999</v>
      </c>
    </row>
    <row r="28" spans="1:19" x14ac:dyDescent="0.2">
      <c r="A28" s="21">
        <v>9134116</v>
      </c>
      <c r="B28" s="22">
        <v>2</v>
      </c>
      <c r="C28" s="23">
        <v>728</v>
      </c>
      <c r="D28" s="24">
        <v>332</v>
      </c>
      <c r="E28" s="25" t="s">
        <v>31</v>
      </c>
      <c r="F28" s="25"/>
      <c r="G28" s="37">
        <v>2</v>
      </c>
      <c r="H28" s="37">
        <v>2</v>
      </c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040 Scotch</v>
      </c>
      <c r="L2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040 Scotch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2.9119999999999999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2144</v>
      </c>
      <c r="B1">
        <f>Hoja1!B16*Hoja1!C16</f>
        <v>2144</v>
      </c>
      <c r="C1">
        <f>Hoja1!B16*Hoja1!D16</f>
        <v>1328</v>
      </c>
      <c r="D1">
        <f>Hoja1!B16*Hoja1!D16</f>
        <v>1328</v>
      </c>
    </row>
    <row r="2" spans="1:4" x14ac:dyDescent="0.2">
      <c r="A2">
        <f>Hoja1!B17*Hoja1!C17</f>
        <v>1892</v>
      </c>
      <c r="B2">
        <f>Hoja1!B17*Hoja1!C17</f>
        <v>1892</v>
      </c>
      <c r="C2">
        <f>Hoja1!B17*Hoja1!D17</f>
        <v>1328</v>
      </c>
      <c r="D2">
        <f>Hoja1!B17*Hoja1!D17</f>
        <v>1328</v>
      </c>
    </row>
    <row r="3" spans="1:4" x14ac:dyDescent="0.2">
      <c r="A3">
        <f>Hoja1!B18*Hoja1!C18</f>
        <v>1000</v>
      </c>
      <c r="B3">
        <f>Hoja1!B18*Hoja1!C18</f>
        <v>1000</v>
      </c>
      <c r="C3">
        <f>Hoja1!B18*Hoja1!D18</f>
        <v>664</v>
      </c>
      <c r="D3">
        <f>Hoja1!B18*Hoja1!D18</f>
        <v>664</v>
      </c>
    </row>
    <row r="4" spans="1:4" x14ac:dyDescent="0.2">
      <c r="A4">
        <f>Hoja1!B19*Hoja1!C19</f>
        <v>1456</v>
      </c>
      <c r="B4">
        <f>Hoja1!B19*Hoja1!C19</f>
        <v>1456</v>
      </c>
      <c r="C4">
        <f>Hoja1!B19*Hoja1!D19</f>
        <v>664</v>
      </c>
      <c r="D4">
        <f>Hoja1!B19*Hoja1!D19</f>
        <v>664</v>
      </c>
    </row>
    <row r="5" spans="1:4" x14ac:dyDescent="0.2">
      <c r="A5">
        <f>Hoja1!B20*Hoja1!C20</f>
        <v>400</v>
      </c>
      <c r="B5">
        <f>Hoja1!B20*Hoja1!C20</f>
        <v>400</v>
      </c>
      <c r="C5">
        <f>Hoja1!B20*Hoja1!D20</f>
        <v>664</v>
      </c>
      <c r="D5">
        <f>Hoja1!B20*Hoja1!D20</f>
        <v>664</v>
      </c>
    </row>
    <row r="6" spans="1:4" x14ac:dyDescent="0.2">
      <c r="A6">
        <f>Hoja1!B21*Hoja1!C21</f>
        <v>474</v>
      </c>
      <c r="B6">
        <f>Hoja1!B21*Hoja1!C21</f>
        <v>474</v>
      </c>
      <c r="C6">
        <f>Hoja1!B21*Hoja1!D21</f>
        <v>664</v>
      </c>
      <c r="D6">
        <f>Hoja1!B21*Hoja1!D21</f>
        <v>664</v>
      </c>
    </row>
    <row r="7" spans="1:4" x14ac:dyDescent="0.2">
      <c r="A7">
        <f>Hoja1!B22*Hoja1!C22</f>
        <v>1330</v>
      </c>
      <c r="B7">
        <f>Hoja1!B22*Hoja1!C22</f>
        <v>1330</v>
      </c>
      <c r="C7">
        <f>Hoja1!B22*Hoja1!D22</f>
        <v>300</v>
      </c>
      <c r="D7">
        <f>Hoja1!B22*Hoja1!D22</f>
        <v>300</v>
      </c>
    </row>
    <row r="8" spans="1:4" x14ac:dyDescent="0.2">
      <c r="A8">
        <f>Hoja1!B23*Hoja1!C23</f>
        <v>528</v>
      </c>
      <c r="B8">
        <f>Hoja1!B23*Hoja1!C23</f>
        <v>528</v>
      </c>
      <c r="C8">
        <f>Hoja1!B23*Hoja1!D23</f>
        <v>300</v>
      </c>
      <c r="D8">
        <f>Hoja1!B23*Hoja1!D23</f>
        <v>300</v>
      </c>
    </row>
    <row r="9" spans="1:4" x14ac:dyDescent="0.2">
      <c r="A9">
        <f>Hoja1!B24*Hoja1!C24</f>
        <v>1064</v>
      </c>
      <c r="B9">
        <f>Hoja1!B24*Hoja1!C24</f>
        <v>1064</v>
      </c>
      <c r="C9">
        <f>Hoja1!B24*Hoja1!D24</f>
        <v>1012</v>
      </c>
      <c r="D9">
        <f>Hoja1!B24*Hoja1!D24</f>
        <v>1012</v>
      </c>
    </row>
    <row r="10" spans="1:4" x14ac:dyDescent="0.2">
      <c r="A10">
        <f>Hoja1!B25*Hoja1!C25</f>
        <v>724</v>
      </c>
      <c r="B10">
        <f>Hoja1!B25*Hoja1!C25</f>
        <v>724</v>
      </c>
      <c r="C10">
        <f>Hoja1!B25*Hoja1!D25</f>
        <v>270</v>
      </c>
      <c r="D10">
        <f>Hoja1!B25*Hoja1!D25</f>
        <v>270</v>
      </c>
    </row>
    <row r="11" spans="1:4" x14ac:dyDescent="0.2">
      <c r="A11">
        <f>Hoja1!B26*Hoja1!C26</f>
        <v>1840</v>
      </c>
      <c r="B11">
        <f>Hoja1!B26*Hoja1!C26</f>
        <v>1840</v>
      </c>
      <c r="C11">
        <f>Hoja1!B26*Hoja1!D26</f>
        <v>350</v>
      </c>
      <c r="D11">
        <f>Hoja1!B26*Hoja1!D26</f>
        <v>350</v>
      </c>
    </row>
    <row r="12" spans="1:4" x14ac:dyDescent="0.2">
      <c r="A12">
        <f>Hoja1!B27*Hoja1!C27</f>
        <v>1018</v>
      </c>
      <c r="B12">
        <f>Hoja1!B27*Hoja1!C27</f>
        <v>1018</v>
      </c>
      <c r="C12">
        <f>Hoja1!B27*Hoja1!D27</f>
        <v>700</v>
      </c>
      <c r="D12">
        <f>Hoja1!B27*Hoja1!D27</f>
        <v>700</v>
      </c>
    </row>
    <row r="13" spans="1:4" x14ac:dyDescent="0.2">
      <c r="A13">
        <f>Hoja1!B28*Hoja1!C28</f>
        <v>1456</v>
      </c>
      <c r="B13">
        <f>Hoja1!B28*Hoja1!C28</f>
        <v>1456</v>
      </c>
      <c r="C13">
        <f>Hoja1!B28*Hoja1!D28</f>
        <v>664</v>
      </c>
      <c r="D13">
        <f>Hoja1!B28*Hoja1!D28</f>
        <v>664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2025-08-20T13:53:02Z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