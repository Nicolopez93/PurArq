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franco fernandez\proyecto 011\"/>
    </mc:Choice>
  </mc:AlternateContent>
  <xr:revisionPtr revIDLastSave="0" documentId="13_ncr:1_{3255EE4E-A823-49F1-B752-EA1C30E4E382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<sst xmlns="http://schemas.openxmlformats.org/spreadsheetml/2006/main" count="50" uniqueCount="36">
  <si>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</si>
  <si>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</si>
  <si>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</si>
  <si>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</si>
  <si>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</si>
  <si>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</si>
  <si>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</si>
  <si>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</si>
  <si>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</si>
  <si>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</si>
  <si>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</si>
  <si>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</si>
  <si>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</si>
  <si>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</si>
  <si>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</si>
  <si>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</si>
  <si>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</si>
  <si>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</si>
  <si>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</si>
  <si>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</si>
  <si>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</si>
  <si>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</si>
  <si>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</si>
  <si>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</si>
  <si>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</si>
  <si>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</si>
  <si>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</si>
  <si>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</si>
  <si>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</si>
  <si>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 xml:space="preserve">base </t>
  </si>
  <si>
    <t xml:space="preserve">lat </t>
  </si>
  <si>
    <t>zocalo</t>
  </si>
  <si>
    <t xml:space="preserve">base final </t>
  </si>
  <si>
    <t>tapas cajon</t>
  </si>
  <si>
    <t>estante</t>
  </si>
  <si>
    <t>lat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</si>
</sst>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3" zoomScale="130" zoomScaleNormal="130" workbookViewId="0">
      <selection activeCell="E25" sqref="E25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28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253.40600000000001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43.23060000000001</v>
      </c>
      <c r="R15" s="19" t="s">
        <v>24</v>
      </c>
      <c r="S15" s="20" t="s">
        <v>25</v>
      </c>
    </row>
    <row r="16" spans="1:20" ht="15.75" x14ac:dyDescent="0.25">
      <c r="A16" s="21">
        <v>9117152</v>
      </c>
      <c r="B16" s="22">
        <v>4</v>
      </c>
      <c r="C16" s="23">
        <v>931</v>
      </c>
      <c r="D16" s="24">
        <v>480</v>
      </c>
      <c r="E16" s="25" t="s">
        <v>29</v>
      </c>
      <c r="F16" s="26"/>
      <c r="G16" s="27">
        <v>1</v>
      </c>
      <c r="H16" s="28">
        <v>1</v>
      </c>
      <c r="I16" s="28">
        <v>1</v>
      </c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9.3680000000000003</v>
      </c>
      <c r="Q16">
        <v>1</v>
      </c>
      <c r="R16" s="34">
        <f>((SUMIF(G16:G1016,D3,Hoja3!A1:A1001)+SUMIF(H16:H1016,D3,Hoja3!B1:B1001)+SUMIF(I16:I1016,D3,Hoja3!C1:C1001)+SUMIF(J16:J1016,D3,Hoja3!D1:D1001))/1000)*1.05</f>
        <v>43.230599999999995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4</v>
      </c>
      <c r="C17" s="23">
        <v>494</v>
      </c>
      <c r="D17" s="24">
        <v>480</v>
      </c>
      <c r="E17" s="25" t="s">
        <v>30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3.952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1</v>
      </c>
      <c r="C18" s="23">
        <v>1902</v>
      </c>
      <c r="D18" s="24">
        <v>500</v>
      </c>
      <c r="E18" s="25" t="s">
        <v>32</v>
      </c>
      <c r="F18" s="25"/>
      <c r="G18" s="36">
        <v>1</v>
      </c>
      <c r="H18" s="36">
        <v>1</v>
      </c>
      <c r="I18" s="36">
        <v>1</v>
      </c>
      <c r="J18" s="36">
        <v>1</v>
      </c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8" s="33">
        <f t="shared" si="0"/>
        <v>4.8040000000000003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2</v>
      </c>
      <c r="C19" s="23">
        <v>896</v>
      </c>
      <c r="D19" s="24">
        <v>480</v>
      </c>
      <c r="E19" s="25" t="s">
        <v>34</v>
      </c>
      <c r="F19" s="25"/>
      <c r="G19" s="36">
        <v>1</v>
      </c>
      <c r="H19" s="36">
        <v>1</v>
      </c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3.5840000000000001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2</v>
      </c>
      <c r="C20" s="23">
        <v>600</v>
      </c>
      <c r="D20" s="24">
        <v>500</v>
      </c>
      <c r="E20" s="25" t="s">
        <v>35</v>
      </c>
      <c r="F20" s="25"/>
      <c r="G20" s="36">
        <v>1</v>
      </c>
      <c r="H20" s="36">
        <v>1</v>
      </c>
      <c r="I20" s="36">
        <v>1</v>
      </c>
      <c r="J20" s="36">
        <v>1</v>
      </c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0" s="33">
        <f t="shared" si="0"/>
        <v>4.4000000000000004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4</v>
      </c>
      <c r="C21" s="23">
        <v>489</v>
      </c>
      <c r="D21" s="24">
        <v>462</v>
      </c>
      <c r="E21" s="25" t="s">
        <v>33</v>
      </c>
      <c r="F21" s="25"/>
      <c r="G21" s="37">
        <v>1</v>
      </c>
      <c r="H21" s="37">
        <v>1</v>
      </c>
      <c r="I21" s="37">
        <v>1</v>
      </c>
      <c r="J21" s="37">
        <v>1</v>
      </c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1" s="33">
        <f t="shared" si="0"/>
        <v>7.6079999999999997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9117152</v>
      </c>
      <c r="B22" s="22">
        <v>4</v>
      </c>
      <c r="C22" s="23">
        <v>1864</v>
      </c>
      <c r="D22" s="24">
        <v>70</v>
      </c>
      <c r="E22" s="25" t="s">
        <v>31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7.4560000000000004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2</v>
      </c>
      <c r="C23" s="23">
        <v>380</v>
      </c>
      <c r="D23" s="24">
        <v>70</v>
      </c>
      <c r="E23" s="25" t="s">
        <v>31</v>
      </c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43.230599999999995</v>
      </c>
      <c r="S24" s="39" t="s">
        <v>27</v>
      </c>
    </row>
    <row r="25" spans="1:19" x14ac:dyDescent="0.2">
      <c r="A25" s="21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x14ac:dyDescent="0.2">
      <c r="A26" s="21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3724</v>
      </c>
      <c r="B1">
        <f>Hoja1!B16*Hoja1!C16</f>
        <v>3724</v>
      </c>
      <c r="C1">
        <f>Hoja1!B16*Hoja1!D16</f>
        <v>1920</v>
      </c>
      <c r="D1">
        <f>Hoja1!B16*Hoja1!D16</f>
        <v>1920</v>
      </c>
    </row>
    <row r="2" spans="1:4" x14ac:dyDescent="0.2">
      <c r="A2">
        <f>Hoja1!B17*Hoja1!C17</f>
        <v>1976</v>
      </c>
      <c r="B2">
        <f>Hoja1!B17*Hoja1!C17</f>
        <v>1976</v>
      </c>
      <c r="C2">
        <f>Hoja1!B17*Hoja1!D17</f>
        <v>1920</v>
      </c>
      <c r="D2">
        <f>Hoja1!B17*Hoja1!D17</f>
        <v>1920</v>
      </c>
    </row>
    <row r="3" spans="1:4" x14ac:dyDescent="0.2">
      <c r="A3">
        <f>Hoja1!B18*Hoja1!C18</f>
        <v>1902</v>
      </c>
      <c r="B3">
        <f>Hoja1!B18*Hoja1!C18</f>
        <v>1902</v>
      </c>
      <c r="C3">
        <f>Hoja1!B18*Hoja1!D18</f>
        <v>500</v>
      </c>
      <c r="D3">
        <f>Hoja1!B18*Hoja1!D18</f>
        <v>500</v>
      </c>
    </row>
    <row r="4" spans="1:4" x14ac:dyDescent="0.2">
      <c r="A4">
        <f>Hoja1!B19*Hoja1!C19</f>
        <v>1792</v>
      </c>
      <c r="B4">
        <f>Hoja1!B19*Hoja1!C19</f>
        <v>1792</v>
      </c>
      <c r="C4">
        <f>Hoja1!B19*Hoja1!D19</f>
        <v>960</v>
      </c>
      <c r="D4">
        <f>Hoja1!B19*Hoja1!D19</f>
        <v>960</v>
      </c>
    </row>
    <row r="5" spans="1:4" x14ac:dyDescent="0.2">
      <c r="A5">
        <f>Hoja1!B20*Hoja1!C20</f>
        <v>1200</v>
      </c>
      <c r="B5">
        <f>Hoja1!B20*Hoja1!C20</f>
        <v>1200</v>
      </c>
      <c r="C5">
        <f>Hoja1!B20*Hoja1!D20</f>
        <v>1000</v>
      </c>
      <c r="D5">
        <f>Hoja1!B20*Hoja1!D20</f>
        <v>1000</v>
      </c>
    </row>
    <row r="6" spans="1:4" x14ac:dyDescent="0.2">
      <c r="A6">
        <f>Hoja1!B21*Hoja1!C21</f>
        <v>1956</v>
      </c>
      <c r="B6">
        <f>Hoja1!B21*Hoja1!C21</f>
        <v>1956</v>
      </c>
      <c r="C6">
        <f>Hoja1!B21*Hoja1!D21</f>
        <v>1848</v>
      </c>
      <c r="D6">
        <f>Hoja1!B21*Hoja1!D21</f>
        <v>1848</v>
      </c>
    </row>
    <row r="7" spans="1:4" x14ac:dyDescent="0.2">
      <c r="A7">
        <f>Hoja1!B22*Hoja1!C22</f>
        <v>7456</v>
      </c>
      <c r="B7">
        <f>Hoja1!B22*Hoja1!C22</f>
        <v>7456</v>
      </c>
      <c r="C7">
        <f>Hoja1!B22*Hoja1!D22</f>
        <v>280</v>
      </c>
      <c r="D7">
        <f>Hoja1!B22*Hoja1!D22</f>
        <v>280</v>
      </c>
    </row>
    <row r="8" spans="1:4" x14ac:dyDescent="0.2">
      <c r="A8">
        <f>Hoja1!B23*Hoja1!C23</f>
        <v>760</v>
      </c>
      <c r="B8">
        <f>Hoja1!B23*Hoja1!C23</f>
        <v>760</v>
      </c>
      <c r="C8">
        <f>Hoja1!B23*Hoja1!D23</f>
        <v>140</v>
      </c>
      <c r="D8">
        <f>Hoja1!B23*Hoja1!D23</f>
        <v>140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2025-08-13T12:58:36Z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