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10\"/>
    </mc:Choice>
  </mc:AlternateContent>
  <xr:revisionPtr revIDLastSave="0" documentId="13_ncr:1_{B18AB5DB-8BEE-4BE2-90D8-C73F4AB4AE4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<sst xmlns="http://schemas.openxmlformats.org/spreadsheetml/2006/main" count="50" uniqueCount="35">
  <si>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</si>
  <si>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</si>
  <si>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</si>
  <si>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</si>
  <si>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</si>
  <si>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</si>
  <si>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</si>
  <si>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</si>
  <si>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</si>
  <si>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</si>
  <si>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</si>
  <si>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</si>
  <si>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</si>
  <si>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</si>
  <si>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</si>
  <si>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</si>
  <si>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</si>
  <si>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</si>
  <si>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</si>
  <si>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</si>
  <si>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</si>
  <si>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</si>
  <si>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</si>
  <si>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</si>
  <si>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</si>
  <si>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</si>
  <si>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</si>
  <si>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</si>
  <si>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</si>
  <si>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</si>
  <si>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 xml:space="preserve">base </t>
  </si>
  <si>
    <t xml:space="preserve">lat </t>
  </si>
  <si>
    <t>zocalo</t>
  </si>
  <si>
    <t xml:space="preserve">base final </t>
  </si>
  <si>
    <t>tapas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</si>
</sst>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B22" sqref="B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353.45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55.204800000000006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4</v>
      </c>
      <c r="C16" s="23">
        <v>600</v>
      </c>
      <c r="D16" s="24">
        <v>432</v>
      </c>
      <c r="E16" s="25" t="s">
        <v>30</v>
      </c>
      <c r="F16" s="26"/>
      <c r="G16" s="27">
        <v>1</v>
      </c>
      <c r="H16" s="28">
        <v>1</v>
      </c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6.5279999999999996</v>
      </c>
      <c r="Q16">
        <v>1</v>
      </c>
      <c r="R16" s="34">
        <f>((SUMIF(G16:G1016,D3,Hoja3!A1:A1001)+SUMIF(H16:H1016,D3,Hoja3!B1:B1001)+SUMIF(I16:I1016,D3,Hoja3!C1:C1001)+SUMIF(J16:J1016,D3,Hoja3!D1:D1001))/1000)*1.05</f>
        <v>55.204800000000006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674</v>
      </c>
      <c r="D17" s="24">
        <v>432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5.3920000000000003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1206</v>
      </c>
      <c r="D18" s="24">
        <v>450</v>
      </c>
      <c r="E18" s="25" t="s">
        <v>33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3.3119999999999998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16</v>
      </c>
      <c r="C19" s="23">
        <v>537</v>
      </c>
      <c r="D19" s="24">
        <v>150</v>
      </c>
      <c r="E19" s="25" t="s">
        <v>29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13.391999999999999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16</v>
      </c>
      <c r="C20" s="23">
        <v>364</v>
      </c>
      <c r="D20" s="24">
        <v>150</v>
      </c>
      <c r="E20" s="25" t="s">
        <v>29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11.648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8</v>
      </c>
      <c r="C21" s="23">
        <v>596</v>
      </c>
      <c r="D21" s="24">
        <v>173</v>
      </c>
      <c r="E21" s="25" t="s">
        <v>34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12.304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2</v>
      </c>
      <c r="C22" s="23">
        <v>1197</v>
      </c>
      <c r="D22" s="24">
        <v>70</v>
      </c>
      <c r="E22" s="25" t="s">
        <v>32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370</v>
      </c>
      <c r="D23" s="24">
        <v>70</v>
      </c>
      <c r="E23" s="25" t="s">
        <v>32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55.204800000000006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2400</v>
      </c>
      <c r="B1">
        <f>Hoja1!B16*Hoja1!C16</f>
        <v>2400</v>
      </c>
      <c r="C1">
        <f>Hoja1!B16*Hoja1!D16</f>
        <v>1728</v>
      </c>
      <c r="D1">
        <f>Hoja1!B16*Hoja1!D16</f>
        <v>1728</v>
      </c>
    </row>
    <row r="2" spans="1:4" x14ac:dyDescent="0.2">
      <c r="A2">
        <f>Hoja1!B17*Hoja1!C17</f>
        <v>2696</v>
      </c>
      <c r="B2">
        <f>Hoja1!B17*Hoja1!C17</f>
        <v>2696</v>
      </c>
      <c r="C2">
        <f>Hoja1!B17*Hoja1!D17</f>
        <v>1728</v>
      </c>
      <c r="D2">
        <f>Hoja1!B17*Hoja1!D17</f>
        <v>1728</v>
      </c>
    </row>
    <row r="3" spans="1:4" x14ac:dyDescent="0.2">
      <c r="A3">
        <f>Hoja1!B18*Hoja1!C18</f>
        <v>1206</v>
      </c>
      <c r="B3">
        <f>Hoja1!B18*Hoja1!C18</f>
        <v>1206</v>
      </c>
      <c r="C3">
        <f>Hoja1!B18*Hoja1!D18</f>
        <v>450</v>
      </c>
      <c r="D3">
        <f>Hoja1!B18*Hoja1!D18</f>
        <v>450</v>
      </c>
    </row>
    <row r="4" spans="1:4" x14ac:dyDescent="0.2">
      <c r="A4">
        <f>Hoja1!B19*Hoja1!C19</f>
        <v>8592</v>
      </c>
      <c r="B4">
        <f>Hoja1!B19*Hoja1!C19</f>
        <v>8592</v>
      </c>
      <c r="C4">
        <f>Hoja1!B19*Hoja1!D19</f>
        <v>2400</v>
      </c>
      <c r="D4">
        <f>Hoja1!B19*Hoja1!D19</f>
        <v>2400</v>
      </c>
    </row>
    <row r="5" spans="1:4" x14ac:dyDescent="0.2">
      <c r="A5">
        <f>Hoja1!B20*Hoja1!C20</f>
        <v>5824</v>
      </c>
      <c r="B5">
        <f>Hoja1!B20*Hoja1!C20</f>
        <v>5824</v>
      </c>
      <c r="C5">
        <f>Hoja1!B20*Hoja1!D20</f>
        <v>2400</v>
      </c>
      <c r="D5">
        <f>Hoja1!B20*Hoja1!D20</f>
        <v>2400</v>
      </c>
    </row>
    <row r="6" spans="1:4" x14ac:dyDescent="0.2">
      <c r="A6">
        <f>Hoja1!B21*Hoja1!C21</f>
        <v>4768</v>
      </c>
      <c r="B6">
        <f>Hoja1!B21*Hoja1!C21</f>
        <v>4768</v>
      </c>
      <c r="C6">
        <f>Hoja1!B21*Hoja1!D21</f>
        <v>1384</v>
      </c>
      <c r="D6">
        <f>Hoja1!B21*Hoja1!D21</f>
        <v>1384</v>
      </c>
    </row>
    <row r="7" spans="1:4" x14ac:dyDescent="0.2">
      <c r="A7">
        <f>Hoja1!B22*Hoja1!C22</f>
        <v>2394</v>
      </c>
      <c r="B7">
        <f>Hoja1!B22*Hoja1!C22</f>
        <v>2394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740</v>
      </c>
      <c r="B8">
        <f>Hoja1!B23*Hoja1!C23</f>
        <v>740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2025-07-29T23:09:24Z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