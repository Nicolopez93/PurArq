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onocida de ruben\"/>
    </mc:Choice>
  </mc:AlternateContent>
  <xr:revisionPtr revIDLastSave="0" documentId="13_ncr:1_{80A71C1A-4636-438C-B5BB-B258EA3DB6A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<sst xmlns="http://schemas.openxmlformats.org/spreadsheetml/2006/main" count="64" uniqueCount="40">
  <si>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</si>
  <si>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</si>
  <si>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</si>
  <si>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</si>
  <si>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</si>
  <si>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</si>
  <si>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</si>
  <si>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</si>
  <si>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</si>
  <si>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</si>
  <si>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</si>
  <si>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</si>
  <si>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</si>
  <si>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</si>
  <si>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</si>
  <si>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</si>
  <si>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</si>
  <si>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</si>
  <si>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</si>
  <si>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</si>
  <si>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</si>
  <si>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</si>
  <si>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</si>
  <si>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</si>
  <si>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</si>
  <si>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</si>
  <si>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</si>
  <si>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</si>
  <si>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</si>
  <si>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medio 1</t>
  </si>
  <si>
    <t>tapa cajon 2</t>
  </si>
  <si>
    <t>lat infe</t>
  </si>
  <si>
    <t>lat sup</t>
  </si>
  <si>
    <t>estante</t>
  </si>
  <si>
    <t>base sup</t>
  </si>
  <si>
    <t>base medio</t>
  </si>
  <si>
    <t>lat cajon</t>
  </si>
  <si>
    <t>045 scotch</t>
  </si>
  <si>
    <t xml:space="preserve">lat 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</si>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</sst>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5" zoomScale="130" zoomScaleNormal="130" workbookViewId="0">
      <selection activeCell="C29" sqref="C2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484.72699999999998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37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50.748599999999996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8</v>
      </c>
      <c r="C16" s="23">
        <v>848</v>
      </c>
      <c r="D16" s="24">
        <v>415</v>
      </c>
      <c r="E16" s="25" t="s">
        <v>31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6.7839999999999998</v>
      </c>
      <c r="Q16">
        <v>1</v>
      </c>
      <c r="R16" s="34">
        <f>((SUMIF(G16:G1016,D3,Hoja3!A1:A1001)+SUMIF(H16:H1016,D3,Hoja3!B1:B1001)+SUMIF(I16:I1016,D3,Hoja3!C1:C1001)+SUMIF(J16:J1016,D3,Hoja3!D1:D1001))/1000)*1.05</f>
        <v>50.748600000000003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600</v>
      </c>
      <c r="D17" s="24">
        <v>433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5.8639999999999999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 t="str">
        <f t="shared" si="1"/>
        <v>045 scotch</v>
      </c>
    </row>
    <row r="18" spans="1:19" ht="15.75" x14ac:dyDescent="0.25">
      <c r="A18" s="21" t="s">
        <v>26</v>
      </c>
      <c r="B18" s="22">
        <v>6</v>
      </c>
      <c r="C18" s="23">
        <v>954</v>
      </c>
      <c r="D18" s="24">
        <v>415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5.7240000000000002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6</v>
      </c>
      <c r="C19" s="23">
        <v>564</v>
      </c>
      <c r="D19" s="24">
        <v>415</v>
      </c>
      <c r="E19" s="25" t="s">
        <v>33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3.3839999999999999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600</v>
      </c>
      <c r="D20" s="24">
        <v>415</v>
      </c>
      <c r="E20" s="25" t="s">
        <v>34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820</v>
      </c>
      <c r="D21" s="24">
        <v>433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3.28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1640</v>
      </c>
      <c r="D22" s="24">
        <v>415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1.64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596</v>
      </c>
      <c r="D23" s="24">
        <v>200</v>
      </c>
      <c r="E23" s="25" t="s">
        <v>30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6.3680000000000003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8</v>
      </c>
      <c r="C24" s="23">
        <v>537</v>
      </c>
      <c r="D24" s="24">
        <v>150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6.6959999999999997</v>
      </c>
      <c r="R24" s="38">
        <f>SUM(R16:R23)</f>
        <v>50.748600000000003</v>
      </c>
      <c r="S24" s="39" t="s">
        <v>27</v>
      </c>
    </row>
    <row r="25" spans="1:19" x14ac:dyDescent="0.2">
      <c r="A25" s="21" t="s">
        <v>26</v>
      </c>
      <c r="B25" s="22">
        <v>8</v>
      </c>
      <c r="C25" s="23">
        <v>364</v>
      </c>
      <c r="D25" s="24">
        <v>150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5.8239999999999998</v>
      </c>
    </row>
    <row r="26" spans="1:19" x14ac:dyDescent="0.2">
      <c r="A26" s="21" t="s">
        <v>26</v>
      </c>
      <c r="B26" s="22">
        <v>2</v>
      </c>
      <c r="C26" s="23">
        <v>1855</v>
      </c>
      <c r="D26" s="24">
        <v>50</v>
      </c>
      <c r="E26" s="25" t="s">
        <v>38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 t="s">
        <v>26</v>
      </c>
      <c r="B27" s="22">
        <v>2</v>
      </c>
      <c r="C27" s="23">
        <v>784</v>
      </c>
      <c r="D27" s="24">
        <v>415</v>
      </c>
      <c r="E27" s="25" t="s">
        <v>33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1.5680000000000001</v>
      </c>
    </row>
    <row r="28" spans="1:19" x14ac:dyDescent="0.2">
      <c r="A28" s="21" t="s">
        <v>26</v>
      </c>
      <c r="B28" s="22">
        <v>3</v>
      </c>
      <c r="C28" s="23">
        <v>1830</v>
      </c>
      <c r="D28" s="24">
        <v>960</v>
      </c>
      <c r="E28" s="25" t="s">
        <v>39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 t="s">
        <v>26</v>
      </c>
      <c r="B29" s="22">
        <v>3</v>
      </c>
      <c r="C29" s="23">
        <v>380</v>
      </c>
      <c r="D29" s="24">
        <v>960</v>
      </c>
      <c r="E29" s="25" t="s">
        <v>39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6784</v>
      </c>
      <c r="B1">
        <f>Hoja1!B16*Hoja1!C16</f>
        <v>6784</v>
      </c>
      <c r="C1">
        <f>Hoja1!B16*Hoja1!D16</f>
        <v>3320</v>
      </c>
      <c r="D1">
        <f>Hoja1!B16*Hoja1!D16</f>
        <v>3320</v>
      </c>
    </row>
    <row r="2" spans="1:4" x14ac:dyDescent="0.2">
      <c r="A2">
        <f>Hoja1!B17*Hoja1!C17</f>
        <v>2400</v>
      </c>
      <c r="B2">
        <f>Hoja1!B17*Hoja1!C17</f>
        <v>2400</v>
      </c>
      <c r="C2">
        <f>Hoja1!B17*Hoja1!D17</f>
        <v>1732</v>
      </c>
      <c r="D2">
        <f>Hoja1!B17*Hoja1!D17</f>
        <v>1732</v>
      </c>
    </row>
    <row r="3" spans="1:4" x14ac:dyDescent="0.2">
      <c r="A3">
        <f>Hoja1!B18*Hoja1!C18</f>
        <v>5724</v>
      </c>
      <c r="B3">
        <f>Hoja1!B18*Hoja1!C18</f>
        <v>5724</v>
      </c>
      <c r="C3">
        <f>Hoja1!B18*Hoja1!D18</f>
        <v>2490</v>
      </c>
      <c r="D3">
        <f>Hoja1!B18*Hoja1!D18</f>
        <v>2490</v>
      </c>
    </row>
    <row r="4" spans="1:4" x14ac:dyDescent="0.2">
      <c r="A4">
        <f>Hoja1!B19*Hoja1!C19</f>
        <v>3384</v>
      </c>
      <c r="B4">
        <f>Hoja1!B19*Hoja1!C19</f>
        <v>3384</v>
      </c>
      <c r="C4">
        <f>Hoja1!B19*Hoja1!D19</f>
        <v>2490</v>
      </c>
      <c r="D4">
        <f>Hoja1!B19*Hoja1!D19</f>
        <v>2490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830</v>
      </c>
      <c r="D5">
        <f>Hoja1!B20*Hoja1!D20</f>
        <v>830</v>
      </c>
    </row>
    <row r="6" spans="1:4" x14ac:dyDescent="0.2">
      <c r="A6">
        <f>Hoja1!B21*Hoja1!C21</f>
        <v>3280</v>
      </c>
      <c r="B6">
        <f>Hoja1!B21*Hoja1!C21</f>
        <v>3280</v>
      </c>
      <c r="C6">
        <f>Hoja1!B21*Hoja1!D21</f>
        <v>1732</v>
      </c>
      <c r="D6">
        <f>Hoja1!B21*Hoja1!D21</f>
        <v>1732</v>
      </c>
    </row>
    <row r="7" spans="1:4" x14ac:dyDescent="0.2">
      <c r="A7">
        <f>Hoja1!B22*Hoja1!C22</f>
        <v>1640</v>
      </c>
      <c r="B7">
        <f>Hoja1!B22*Hoja1!C22</f>
        <v>1640</v>
      </c>
      <c r="C7">
        <f>Hoja1!B22*Hoja1!D22</f>
        <v>415</v>
      </c>
      <c r="D7">
        <f>Hoja1!B22*Hoja1!D22</f>
        <v>415</v>
      </c>
    </row>
    <row r="8" spans="1:4" x14ac:dyDescent="0.2">
      <c r="A8">
        <f>Hoja1!B23*Hoja1!C23</f>
        <v>2384</v>
      </c>
      <c r="B8">
        <f>Hoja1!B23*Hoja1!C23</f>
        <v>2384</v>
      </c>
      <c r="C8">
        <f>Hoja1!B23*Hoja1!D23</f>
        <v>800</v>
      </c>
      <c r="D8">
        <f>Hoja1!B23*Hoja1!D23</f>
        <v>800</v>
      </c>
    </row>
    <row r="9" spans="1:4" x14ac:dyDescent="0.2">
      <c r="A9">
        <f>Hoja1!B24*Hoja1!C24</f>
        <v>4296</v>
      </c>
      <c r="B9">
        <f>Hoja1!B24*Hoja1!C24</f>
        <v>4296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2912</v>
      </c>
      <c r="B10">
        <f>Hoja1!B25*Hoja1!C25</f>
        <v>2912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3710</v>
      </c>
      <c r="B11">
        <f>Hoja1!B26*Hoja1!C26</f>
        <v>3710</v>
      </c>
      <c r="C11">
        <f>Hoja1!B26*Hoja1!D26</f>
        <v>100</v>
      </c>
      <c r="D11">
        <f>Hoja1!B26*Hoja1!D26</f>
        <v>100</v>
      </c>
    </row>
    <row r="12" spans="1:4" x14ac:dyDescent="0.2">
      <c r="A12">
        <f>Hoja1!B27*Hoja1!C27</f>
        <v>1568</v>
      </c>
      <c r="B12">
        <f>Hoja1!B27*Hoja1!C27</f>
        <v>1568</v>
      </c>
      <c r="C12">
        <f>Hoja1!B27*Hoja1!D27</f>
        <v>830</v>
      </c>
      <c r="D12">
        <f>Hoja1!B27*Hoja1!D27</f>
        <v>830</v>
      </c>
    </row>
    <row r="13" spans="1:4" x14ac:dyDescent="0.2">
      <c r="A13">
        <f>Hoja1!B28*Hoja1!C28</f>
        <v>5490</v>
      </c>
      <c r="B13">
        <f>Hoja1!B28*Hoja1!C28</f>
        <v>5490</v>
      </c>
      <c r="C13">
        <f>Hoja1!B28*Hoja1!D28</f>
        <v>2880</v>
      </c>
      <c r="D13">
        <f>Hoja1!B28*Hoja1!D28</f>
        <v>2880</v>
      </c>
    </row>
    <row r="14" spans="1:4" x14ac:dyDescent="0.2">
      <c r="A14">
        <f>Hoja1!B29*Hoja1!C29</f>
        <v>1140</v>
      </c>
      <c r="B14">
        <f>Hoja1!B29*Hoja1!C29</f>
        <v>1140</v>
      </c>
      <c r="C14">
        <f>Hoja1!B29*Hoja1!D29</f>
        <v>2880</v>
      </c>
      <c r="D14">
        <f>Hoja1!B29*Hoja1!D29</f>
        <v>2880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2025-07-28T13:06:11Z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