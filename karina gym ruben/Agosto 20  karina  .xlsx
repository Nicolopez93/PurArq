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karina gym ruben\"/>
    </mc:Choice>
  </mc:AlternateContent>
  <xr:revisionPtr revIDLastSave="0" documentId="13_ncr:1_{23B2B73E-37CC-4FB3-ADA2-276328D6B55B}" xr6:coauthVersionLast="47" xr6:coauthVersionMax="47" xr10:uidLastSave="{00000000-0000-0000-0000-000000000000}"/>
  <bookViews>
    <workbookView xWindow="-20610" yWindow="-120" windowWidth="20730" windowHeight="1116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R23" i="1"/>
  <c r="O23" i="1"/>
  <c r="S22" i="1"/>
  <c r="O22" i="1"/>
  <c r="S21" i="1"/>
  <c r="O21" i="1"/>
  <c r="S20" i="1"/>
  <c r="O20" i="1"/>
  <c r="S19" i="1"/>
  <c r="O19" i="1"/>
  <c r="S18" i="1"/>
  <c r="R18" i="1"/>
  <c r="O18" i="1"/>
  <c r="S17" i="1"/>
  <c r="O17" i="1"/>
  <c r="S16" i="1"/>
  <c r="O16" i="1"/>
  <c r="L10" i="1"/>
  <c r="D10" i="1"/>
  <c r="E10" i="1" s="1"/>
  <c r="L9" i="1"/>
  <c r="E9" i="1"/>
  <c r="D9" i="1"/>
  <c r="R22" i="1" s="1"/>
  <c r="L8" i="1"/>
  <c r="D8" i="1"/>
  <c r="R21" i="1" s="1"/>
  <c r="L7" i="1"/>
  <c r="E7" i="1"/>
  <c r="D7" i="1"/>
  <c r="R20" i="1" s="1"/>
  <c r="L6" i="1"/>
  <c r="D6" i="1"/>
  <c r="R19" i="1" s="1"/>
  <c r="L5" i="1"/>
  <c r="E5" i="1"/>
  <c r="D5" i="1"/>
  <c r="L4" i="1"/>
  <c r="D4" i="1"/>
  <c r="L3" i="1"/>
  <c r="D3" i="1"/>
  <c r="L46" i="1" l="1"/>
  <c r="N42" i="1"/>
  <c r="L174" i="1"/>
  <c r="L76" i="1"/>
  <c r="K17" i="1"/>
  <c r="N65" i="1"/>
  <c r="N165" i="1"/>
  <c r="K240" i="1"/>
  <c r="L114" i="1"/>
  <c r="M28" i="1"/>
  <c r="N60" i="1"/>
  <c r="L100" i="1"/>
  <c r="M151" i="1"/>
  <c r="K160" i="1"/>
  <c r="K236" i="1"/>
  <c r="K22" i="1"/>
  <c r="N29" i="1"/>
  <c r="L33" i="1"/>
  <c r="L81" i="1"/>
  <c r="M97" i="1"/>
  <c r="K106" i="1"/>
  <c r="L157" i="1"/>
  <c r="N248" i="1"/>
  <c r="E3" i="1"/>
  <c r="M20" i="1"/>
  <c r="N47" i="1"/>
  <c r="L58" i="1"/>
  <c r="N111" i="1"/>
  <c r="L143" i="1"/>
  <c r="N162" i="1"/>
  <c r="K171" i="1"/>
  <c r="N180" i="1"/>
  <c r="M190" i="1"/>
  <c r="N218" i="1"/>
  <c r="L228" i="1"/>
  <c r="M16" i="1"/>
  <c r="N30" i="1"/>
  <c r="L40" i="1"/>
  <c r="L63" i="1"/>
  <c r="N78" i="1"/>
  <c r="L103" i="1"/>
  <c r="L154" i="1"/>
  <c r="N21" i="1"/>
  <c r="L45" i="1"/>
  <c r="N83" i="1"/>
  <c r="N108" i="1"/>
  <c r="K117" i="1"/>
  <c r="M140" i="1"/>
  <c r="L168" i="1"/>
  <c r="N177" i="1"/>
  <c r="L187" i="1"/>
  <c r="M215" i="1"/>
  <c r="K225" i="1"/>
  <c r="N20" i="1"/>
  <c r="K23" i="1"/>
  <c r="K26" i="1"/>
  <c r="L28" i="1"/>
  <c r="K33" i="1"/>
  <c r="M35" i="1"/>
  <c r="K38" i="1"/>
  <c r="M40" i="1"/>
  <c r="K51" i="1"/>
  <c r="M53" i="1"/>
  <c r="K56" i="1"/>
  <c r="M58" i="1"/>
  <c r="K69" i="1"/>
  <c r="M71" i="1"/>
  <c r="K74" i="1"/>
  <c r="M76" i="1"/>
  <c r="K87" i="1"/>
  <c r="M89" i="1"/>
  <c r="K92" i="1"/>
  <c r="K95" i="1"/>
  <c r="N97" i="1"/>
  <c r="M100" i="1"/>
  <c r="M126" i="1"/>
  <c r="L129" i="1"/>
  <c r="K132" i="1"/>
  <c r="N137" i="1"/>
  <c r="N140" i="1"/>
  <c r="M143" i="1"/>
  <c r="K146" i="1"/>
  <c r="K149" i="1"/>
  <c r="N151" i="1"/>
  <c r="M154" i="1"/>
  <c r="L184" i="1"/>
  <c r="M187" i="1"/>
  <c r="K194" i="1"/>
  <c r="K197" i="1"/>
  <c r="M200" i="1"/>
  <c r="N203" i="1"/>
  <c r="K210" i="1"/>
  <c r="L213" i="1"/>
  <c r="N266" i="1"/>
  <c r="L323" i="1"/>
  <c r="N392" i="1"/>
  <c r="N516" i="1"/>
  <c r="N35" i="1"/>
  <c r="N48" i="1"/>
  <c r="L51" i="1"/>
  <c r="N53" i="1"/>
  <c r="L64" i="1"/>
  <c r="N66" i="1"/>
  <c r="L69" i="1"/>
  <c r="N71" i="1"/>
  <c r="L82" i="1"/>
  <c r="N84" i="1"/>
  <c r="L87" i="1"/>
  <c r="N89" i="1"/>
  <c r="M104" i="1"/>
  <c r="L107" i="1"/>
  <c r="M115" i="1"/>
  <c r="L118" i="1"/>
  <c r="L121" i="1"/>
  <c r="K124" i="1"/>
  <c r="N126" i="1"/>
  <c r="N129" i="1"/>
  <c r="L132" i="1"/>
  <c r="K135" i="1"/>
  <c r="M158" i="1"/>
  <c r="L161" i="1"/>
  <c r="M169" i="1"/>
  <c r="M172" i="1"/>
  <c r="M197" i="1"/>
  <c r="N200" i="1"/>
  <c r="K207" i="1"/>
  <c r="L210" i="1"/>
  <c r="N213" i="1"/>
  <c r="N216" i="1"/>
  <c r="L223" i="1"/>
  <c r="M226" i="1"/>
  <c r="N237" i="1"/>
  <c r="M289" i="1"/>
  <c r="R17" i="1"/>
  <c r="K16" i="1"/>
  <c r="L17" i="1"/>
  <c r="N19" i="1"/>
  <c r="L22" i="1"/>
  <c r="K27" i="1"/>
  <c r="N28" i="1"/>
  <c r="K39" i="1"/>
  <c r="M41" i="1"/>
  <c r="K44" i="1"/>
  <c r="M46" i="1"/>
  <c r="K57" i="1"/>
  <c r="M59" i="1"/>
  <c r="K62" i="1"/>
  <c r="M64" i="1"/>
  <c r="K75" i="1"/>
  <c r="M77" i="1"/>
  <c r="K80" i="1"/>
  <c r="M82" i="1"/>
  <c r="L93" i="1"/>
  <c r="K96" i="1"/>
  <c r="N101" i="1"/>
  <c r="N104" i="1"/>
  <c r="M107" i="1"/>
  <c r="K110" i="1"/>
  <c r="K113" i="1"/>
  <c r="N115" i="1"/>
  <c r="M118" i="1"/>
  <c r="M144" i="1"/>
  <c r="L147" i="1"/>
  <c r="K150" i="1"/>
  <c r="N155" i="1"/>
  <c r="N158" i="1"/>
  <c r="M161" i="1"/>
  <c r="K164" i="1"/>
  <c r="K167" i="1"/>
  <c r="N169" i="1"/>
  <c r="K176" i="1"/>
  <c r="K179" i="1"/>
  <c r="M182" i="1"/>
  <c r="N185" i="1"/>
  <c r="K192" i="1"/>
  <c r="L195" i="1"/>
  <c r="L220" i="1"/>
  <c r="M223" i="1"/>
  <c r="K230" i="1"/>
  <c r="K234" i="1"/>
  <c r="K242" i="1"/>
  <c r="L246" i="1"/>
  <c r="K254" i="1"/>
  <c r="L263" i="1"/>
  <c r="L377" i="1"/>
  <c r="K471" i="1"/>
  <c r="L16" i="1"/>
  <c r="L21" i="1"/>
  <c r="M22" i="1"/>
  <c r="L27" i="1"/>
  <c r="L34" i="1"/>
  <c r="N36" i="1"/>
  <c r="L39" i="1"/>
  <c r="N41" i="1"/>
  <c r="L52" i="1"/>
  <c r="N54" i="1"/>
  <c r="L57" i="1"/>
  <c r="N59" i="1"/>
  <c r="L70" i="1"/>
  <c r="N72" i="1"/>
  <c r="L75" i="1"/>
  <c r="N77" i="1"/>
  <c r="L88" i="1"/>
  <c r="N90" i="1"/>
  <c r="N93" i="1"/>
  <c r="L96" i="1"/>
  <c r="K99" i="1"/>
  <c r="M122" i="1"/>
  <c r="L125" i="1"/>
  <c r="M133" i="1"/>
  <c r="L136" i="1"/>
  <c r="L139" i="1"/>
  <c r="K142" i="1"/>
  <c r="N144" i="1"/>
  <c r="N147" i="1"/>
  <c r="L150" i="1"/>
  <c r="K153" i="1"/>
  <c r="M179" i="1"/>
  <c r="N182" i="1"/>
  <c r="K189" i="1"/>
  <c r="L192" i="1"/>
  <c r="N195" i="1"/>
  <c r="N198" i="1"/>
  <c r="L205" i="1"/>
  <c r="M208" i="1"/>
  <c r="K251" i="1"/>
  <c r="K259" i="1"/>
  <c r="M21" i="1"/>
  <c r="M27" i="1"/>
  <c r="M29" i="1"/>
  <c r="K32" i="1"/>
  <c r="M34" i="1"/>
  <c r="K45" i="1"/>
  <c r="M47" i="1"/>
  <c r="K50" i="1"/>
  <c r="M52" i="1"/>
  <c r="K63" i="1"/>
  <c r="M65" i="1"/>
  <c r="K68" i="1"/>
  <c r="M70" i="1"/>
  <c r="K81" i="1"/>
  <c r="M83" i="1"/>
  <c r="K86" i="1"/>
  <c r="M88" i="1"/>
  <c r="M108" i="1"/>
  <c r="L111" i="1"/>
  <c r="K114" i="1"/>
  <c r="N119" i="1"/>
  <c r="N122" i="1"/>
  <c r="M125" i="1"/>
  <c r="K128" i="1"/>
  <c r="K131" i="1"/>
  <c r="N133" i="1"/>
  <c r="M136" i="1"/>
  <c r="M162" i="1"/>
  <c r="L165" i="1"/>
  <c r="K168" i="1"/>
  <c r="K174" i="1"/>
  <c r="L177" i="1"/>
  <c r="L202" i="1"/>
  <c r="M205" i="1"/>
  <c r="K212" i="1"/>
  <c r="K215" i="1"/>
  <c r="M218" i="1"/>
  <c r="N221" i="1"/>
  <c r="K228" i="1"/>
  <c r="N231" i="1"/>
  <c r="N243" i="1"/>
  <c r="N251" i="1"/>
  <c r="K269" i="1"/>
  <c r="N338" i="1"/>
  <c r="M256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<sst xmlns="http://schemas.openxmlformats.org/spreadsheetml/2006/main" count="86" uniqueCount="50">
  <si>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</si>
  <si>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</si>
  <si>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</si>
  <si>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</si>
  <si>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</si>
  <si>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</si>
  <si>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</si>
  <si>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</si>
  <si>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</si>
  <si>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</si>
  <si>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</si>
  <si>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</si>
  <si>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</si>
  <si>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</si>
  <si>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</si>
  <si>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</si>
  <si>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</si>
  <si>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</si>
  <si>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</si>
  <si>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</si>
  <si>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</si>
  <si>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</si>
  <si>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</si>
  <si>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</si>
  <si>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</si>
  <si>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</si>
  <si>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>9117152</t>
  </si>
  <si>
    <t xml:space="preserve">   Cantidad total de canto en metros lineales + % de descarte</t>
  </si>
  <si>
    <t xml:space="preserve">040 BLANCO </t>
  </si>
  <si>
    <t>base medio 1</t>
  </si>
  <si>
    <t>tapa cajon 2</t>
  </si>
  <si>
    <t>lat infe</t>
  </si>
  <si>
    <t>lat sup</t>
  </si>
  <si>
    <t>estante</t>
  </si>
  <si>
    <t>base sup</t>
  </si>
  <si>
    <t>base medio</t>
  </si>
  <si>
    <t>lat cajon</t>
  </si>
  <si>
    <t xml:space="preserve">lat </t>
  </si>
  <si>
    <t>puertas</t>
  </si>
  <si>
    <t>045 Roble Vicenza gris</t>
  </si>
  <si>
    <t>base</t>
  </si>
  <si>
    <t>zocalo</t>
  </si>
  <si>
    <t>base cajones</t>
  </si>
  <si>
    <t>lat ccajones</t>
  </si>
  <si>
    <t>tapas cajon2</t>
  </si>
  <si>
    <t>lat cajonesss</t>
  </si>
  <si>
    <t>lat mesa</t>
  </si>
  <si>
    <t>tapa mesa</t>
  </si>
  <si>
    <t>base estanteria</t>
  </si>
  <si>
    <t>lat estanteria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</si>
</sst>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b/>
      <sz val="11"/>
      <color rgb="FF000000"/>
      <name val="Calibri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u/>
      <sz val="11"/>
      <color rgb="FF000000"/>
      <name val="Calibri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2">
    <xf numFmtId="0" fontId="0" fillId="0" borderId="0"/>
    <xf numFmtId="0" fontId="1" fillId="2" borderId="1">
      <protection locked="0" hidden="1"/>
    </xf>
  </cellStyleXfs>
  <cellXfs count="52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2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4" fillId="0" borderId="6" xfId="0" applyFont="1" applyBorder="1" applyAlignment="1" applyProtection="1">
      <alignment horizontal="center"/>
      <protection hidden="1"/>
    </xf>
    <xf numFmtId="0" fontId="15" fillId="0" borderId="1" xfId="0" applyFont="1" applyBorder="1" applyAlignment="1">
      <alignment horizontal="center" vertical="center"/>
    </xf>
    <xf numFmtId="0" fontId="12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6" fillId="3" borderId="1" xfId="0" applyFont="1" applyFill="1" applyBorder="1" applyProtection="1">
      <protection locked="0"/>
    </xf>
    <xf numFmtId="0" fontId="0" fillId="6" borderId="0" xfId="0" applyFill="1" applyAlignment="1" applyProtection="1">
      <alignment horizontal="center"/>
      <protection locked="0" hidden="1"/>
    </xf>
    <xf numFmtId="0" fontId="1" fillId="6" borderId="1" xfId="1" applyFill="1" applyAlignment="1">
      <alignment horizontal="center"/>
      <protection locked="0" hidden="1"/>
    </xf>
    <xf numFmtId="0" fontId="17" fillId="6" borderId="1" xfId="1" applyFont="1" applyFill="1" applyAlignment="1">
      <alignment horizontal="center"/>
      <protection locked="0" hidden="1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8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9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6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20" fillId="0" borderId="0" xfId="0" applyFont="1" applyProtection="1">
      <protection hidden="1"/>
    </xf>
    <xf numFmtId="0" fontId="0" fillId="0" borderId="0" xfId="0" applyProtection="1">
      <protection hidden="1"/>
    </xf>
    <xf numFmtId="0" fontId="16" fillId="0" borderId="1" xfId="0" applyFont="1" applyBorder="1" applyProtection="1">
      <protection locked="0"/>
    </xf>
    <xf numFmtId="0" fontId="16" fillId="5" borderId="1" xfId="0" applyFont="1" applyFill="1" applyBorder="1" applyProtection="1">
      <protection locked="0"/>
    </xf>
    <xf numFmtId="0" fontId="16" fillId="2" borderId="1" xfId="0" applyFont="1" applyFill="1" applyBorder="1" applyProtection="1">
      <protection locked="0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10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8" fillId="3" borderId="2" xfId="0" applyFont="1" applyFill="1" applyBorder="1" applyAlignment="1" applyProtection="1">
      <alignment horizontal="left" vertical="center"/>
      <protection locked="0"/>
    </xf>
  </cellXfs>
  <cellStyles count="2">
    <cellStyle name="Normal" xfId="0" builtinId="0"/>
    <cellStyle name="Texto explicativo" xfId="1" builtinId="53" customBuiltin="1"/>
  </cellStyles>
  <dxfs count="4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topLeftCell="A24" zoomScale="130" zoomScaleNormal="130" workbookViewId="0">
      <selection activeCell="A42" sqref="A42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7" t="s">
        <v>0</v>
      </c>
      <c r="B1" s="47"/>
      <c r="C1" s="47"/>
      <c r="D1" s="47"/>
      <c r="E1" s="2"/>
      <c r="F1" s="47" t="s">
        <v>1</v>
      </c>
      <c r="G1" s="47"/>
      <c r="H1" s="47"/>
      <c r="I1" s="47"/>
      <c r="J1" s="47"/>
      <c r="K1" s="47"/>
      <c r="L1" s="47"/>
      <c r="O1" s="1"/>
      <c r="P1" s="1"/>
    </row>
    <row r="2" spans="1:20" ht="17.25" customHeight="1" x14ac:dyDescent="0.2">
      <c r="A2" s="49" t="s">
        <v>2</v>
      </c>
      <c r="B2" s="49"/>
      <c r="C2" s="49"/>
      <c r="D2" s="3" t="s">
        <v>3</v>
      </c>
      <c r="E2" s="4"/>
      <c r="F2" s="50" t="s">
        <v>4</v>
      </c>
      <c r="G2" s="50"/>
      <c r="H2" s="50"/>
      <c r="I2" s="50"/>
      <c r="J2" s="50"/>
      <c r="K2" s="50"/>
      <c r="L2" s="3" t="s">
        <v>5</v>
      </c>
      <c r="M2"/>
      <c r="O2" s="1"/>
      <c r="P2" s="1"/>
      <c r="Q2" s="1"/>
    </row>
    <row r="3" spans="1:20" ht="14.1" customHeight="1" x14ac:dyDescent="0.25">
      <c r="A3" s="44" t="s">
        <v>28</v>
      </c>
      <c r="B3" s="44"/>
      <c r="C3" s="44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807.91300000000001</v>
      </c>
      <c r="F3" s="51">
        <v>9117152</v>
      </c>
      <c r="G3" s="51"/>
      <c r="H3" s="51"/>
      <c r="I3" s="51"/>
      <c r="J3" s="51"/>
      <c r="K3" s="51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4" t="s">
        <v>39</v>
      </c>
      <c r="B4" s="44"/>
      <c r="C4" s="44"/>
      <c r="D4" s="5">
        <f>IF(A4="",0,2)</f>
        <v>2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59.706000000000003</v>
      </c>
      <c r="F4" s="45">
        <v>9133342</v>
      </c>
      <c r="G4" s="45"/>
      <c r="H4" s="45"/>
      <c r="I4" s="45"/>
      <c r="J4" s="45"/>
      <c r="K4" s="45"/>
      <c r="L4" s="7">
        <f>IF(F4="",0,2)</f>
        <v>2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4"/>
      <c r="B5" s="44"/>
      <c r="C5" s="44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5"/>
      <c r="G5" s="45"/>
      <c r="H5" s="45"/>
      <c r="I5" s="45"/>
      <c r="J5" s="45"/>
      <c r="K5" s="45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4"/>
      <c r="B6" s="44"/>
      <c r="C6" s="44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5"/>
      <c r="G6" s="45"/>
      <c r="H6" s="45"/>
      <c r="I6" s="45"/>
      <c r="J6" s="45"/>
      <c r="K6" s="45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4"/>
      <c r="B7" s="44"/>
      <c r="C7" s="44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5"/>
      <c r="G7" s="45"/>
      <c r="H7" s="45"/>
      <c r="I7" s="45"/>
      <c r="J7" s="45"/>
      <c r="K7" s="45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4"/>
      <c r="B8" s="44"/>
      <c r="C8" s="44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5"/>
      <c r="G8" s="45"/>
      <c r="H8" s="45"/>
      <c r="I8" s="45"/>
      <c r="J8" s="45"/>
      <c r="K8" s="45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4"/>
      <c r="B9" s="44"/>
      <c r="C9" s="44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5"/>
      <c r="G9" s="45"/>
      <c r="H9" s="45"/>
      <c r="I9" s="45"/>
      <c r="J9" s="45"/>
      <c r="K9" s="45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4"/>
      <c r="B10" s="44"/>
      <c r="C10" s="44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5"/>
      <c r="G10" s="45"/>
      <c r="H10" s="45"/>
      <c r="I10" s="45"/>
      <c r="J10" s="45"/>
      <c r="K10" s="45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6" t="s">
        <v>6</v>
      </c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</row>
    <row r="12" spans="1:20" ht="27.75" x14ac:dyDescent="0.2">
      <c r="A12" s="47" t="s">
        <v>7</v>
      </c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11"/>
      <c r="N12" s="11"/>
    </row>
    <row r="13" spans="1:20" ht="41.1" customHeight="1" x14ac:dyDescent="0.2">
      <c r="A13" s="48" t="s">
        <v>8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12"/>
      <c r="N13" s="11"/>
    </row>
    <row r="14" spans="1:20" ht="15" x14ac:dyDescent="0.25">
      <c r="A14" s="43" t="s">
        <v>9</v>
      </c>
      <c r="B14" s="43" t="s">
        <v>10</v>
      </c>
      <c r="C14" s="43" t="s">
        <v>11</v>
      </c>
      <c r="D14" s="43" t="s">
        <v>12</v>
      </c>
      <c r="E14" s="43" t="s">
        <v>13</v>
      </c>
      <c r="F14" s="43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43"/>
      <c r="B15" s="43"/>
      <c r="C15" s="43"/>
      <c r="D15" s="43"/>
      <c r="E15" s="43"/>
      <c r="F15" s="43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75.608400000000003</v>
      </c>
      <c r="R15" s="19" t="s">
        <v>24</v>
      </c>
      <c r="S15" s="20" t="s">
        <v>25</v>
      </c>
    </row>
    <row r="16" spans="1:20" ht="15.75" x14ac:dyDescent="0.25">
      <c r="A16" s="21" t="s">
        <v>26</v>
      </c>
      <c r="B16" s="22">
        <v>4</v>
      </c>
      <c r="C16" s="23">
        <v>848</v>
      </c>
      <c r="D16" s="24">
        <v>415</v>
      </c>
      <c r="E16" s="25" t="s">
        <v>31</v>
      </c>
      <c r="F16" s="26"/>
      <c r="G16" s="27">
        <v>1</v>
      </c>
      <c r="H16" s="28"/>
      <c r="I16" s="28"/>
      <c r="J16" s="29"/>
      <c r="K1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" s="33">
        <f t="shared" ref="O16:O79" si="0">(IF(G16&gt;0,C16,0)+IF(H16&gt;0,C16,0)+IF(I16&gt;0,D16,0)+IF(J16&gt;0,D16,0))*B16/1000</f>
        <v>3.3919999999999999</v>
      </c>
      <c r="Q16">
        <v>1</v>
      </c>
      <c r="R16" s="34">
        <f>((SUMIF(G16:G1016,D3,Hoja3!A1:A1001)+SUMIF(H16:H1016,D3,Hoja3!B1:B1001)+SUMIF(I16:I1016,D3,Hoja3!C1:C1001)+SUMIF(J16:J1016,D3,Hoja3!D1:D1001))/1000)*1.05</f>
        <v>59.222100000000005</v>
      </c>
      <c r="S16" s="35" t="str">
        <f t="shared" ref="S16:S23" si="1">A3</f>
        <v xml:space="preserve">040 BLANCO </v>
      </c>
    </row>
    <row r="17" spans="1:19" ht="15.75" x14ac:dyDescent="0.25">
      <c r="A17" s="21" t="s">
        <v>26</v>
      </c>
      <c r="B17" s="22">
        <v>2</v>
      </c>
      <c r="C17" s="23">
        <v>500</v>
      </c>
      <c r="D17" s="24">
        <v>433</v>
      </c>
      <c r="E17" s="25" t="s">
        <v>29</v>
      </c>
      <c r="F17" s="25"/>
      <c r="G17" s="36">
        <v>1</v>
      </c>
      <c r="H17" s="36"/>
      <c r="I17" s="36">
        <v>1</v>
      </c>
      <c r="J17" s="36">
        <v>1</v>
      </c>
      <c r="K1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17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17" s="33">
        <f t="shared" si="0"/>
        <v>2.7320000000000002</v>
      </c>
      <c r="Q17">
        <v>2</v>
      </c>
      <c r="R17" s="34">
        <f>((SUMIF(G16:G1016,D4,Hoja3!A1:A1001)+SUMIF(H16:H1016,D4,Hoja3!B1:B1001)+SUMIF(I16:I1016,D4,Hoja3!C1:C1001)+SUMIF(J16:J1016,D4,Hoja3!D1:D1001))/1000)*1.05</f>
        <v>16.386300000000002</v>
      </c>
      <c r="S17" s="35" t="str">
        <f t="shared" si="1"/>
        <v>045 Roble Vicenza gris</v>
      </c>
    </row>
    <row r="18" spans="1:19" ht="15.75" x14ac:dyDescent="0.25">
      <c r="A18" s="21" t="s">
        <v>26</v>
      </c>
      <c r="B18" s="22">
        <v>4</v>
      </c>
      <c r="C18" s="23">
        <v>1000</v>
      </c>
      <c r="D18" s="24">
        <v>415</v>
      </c>
      <c r="E18" s="25" t="s">
        <v>32</v>
      </c>
      <c r="F18" s="25"/>
      <c r="G18" s="36">
        <v>1</v>
      </c>
      <c r="H18" s="36"/>
      <c r="I18" s="36"/>
      <c r="J18" s="36"/>
      <c r="K1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" s="33">
        <f t="shared" si="0"/>
        <v>4</v>
      </c>
      <c r="Q18">
        <v>3</v>
      </c>
      <c r="R18" s="34">
        <f>((SUMIF(G16:G1016,D5,Hoja3!A1:A1001)+SUMIF(H16:H1016,D5,Hoja3!B1:B1001)+SUMIF(I16:I1016,D5,Hoja3!C1:C1001)+SUMIF(J16:J1016,D5,Hoja3!D1:D1001))/1000)*1.05</f>
        <v>0</v>
      </c>
      <c r="S18" s="35">
        <f t="shared" si="1"/>
        <v>0</v>
      </c>
    </row>
    <row r="19" spans="1:19" ht="15.75" x14ac:dyDescent="0.25">
      <c r="A19" s="21" t="s">
        <v>26</v>
      </c>
      <c r="B19" s="22">
        <v>3</v>
      </c>
      <c r="C19" s="23">
        <v>464</v>
      </c>
      <c r="D19" s="24">
        <v>415</v>
      </c>
      <c r="E19" s="25" t="s">
        <v>33</v>
      </c>
      <c r="F19" s="25"/>
      <c r="G19" s="36">
        <v>1</v>
      </c>
      <c r="H19" s="36"/>
      <c r="I19" s="36"/>
      <c r="J19" s="36"/>
      <c r="K1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" s="33">
        <f t="shared" si="0"/>
        <v>1.3919999999999999</v>
      </c>
      <c r="Q19">
        <v>4</v>
      </c>
      <c r="R19" s="34">
        <f>((SUMIF(G16:G1016,D6,Hoja3!A1:A1001)+SUMIF(H16:H1016,D6,Hoja3!B1:B1001)+SUMIF(I16:I1016,D6,Hoja3!C1:C1001)+SUMIF(J16:J1016,D6,Hoja3!D1:D1001))/1000)*1.05</f>
        <v>0</v>
      </c>
      <c r="S19" s="35">
        <f t="shared" si="1"/>
        <v>0</v>
      </c>
    </row>
    <row r="20" spans="1:19" ht="15.75" x14ac:dyDescent="0.25">
      <c r="A20" s="21" t="s">
        <v>26</v>
      </c>
      <c r="B20" s="22">
        <v>1</v>
      </c>
      <c r="C20" s="23">
        <v>500</v>
      </c>
      <c r="D20" s="24">
        <v>415</v>
      </c>
      <c r="E20" s="25" t="s">
        <v>34</v>
      </c>
      <c r="F20" s="25"/>
      <c r="G20" s="36">
        <v>1</v>
      </c>
      <c r="H20" s="36"/>
      <c r="I20" s="36"/>
      <c r="J20" s="36"/>
      <c r="K2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" s="33">
        <f t="shared" si="0"/>
        <v>0.5</v>
      </c>
      <c r="Q20">
        <v>5</v>
      </c>
      <c r="R20" s="34">
        <f>((SUMIF(G16:G1016,D7,Hoja3!A1:A1001)+SUMIF(H16:H1016,D7,Hoja3!B1:B1001)+SUMIF(I16:I1016,D7,Hoja3!C1:C1001)+SUMIF(J16:J1016,D7,Hoja3!D1:D1001))/1000)*1.05</f>
        <v>0</v>
      </c>
      <c r="S20" s="35">
        <f t="shared" si="1"/>
        <v>0</v>
      </c>
    </row>
    <row r="21" spans="1:19" ht="15.75" x14ac:dyDescent="0.25">
      <c r="A21" s="21" t="s">
        <v>26</v>
      </c>
      <c r="B21" s="22">
        <v>2</v>
      </c>
      <c r="C21" s="23">
        <v>704</v>
      </c>
      <c r="D21" s="24">
        <v>433</v>
      </c>
      <c r="E21" s="25" t="s">
        <v>35</v>
      </c>
      <c r="F21" s="25"/>
      <c r="G21" s="37">
        <v>1</v>
      </c>
      <c r="H21" s="37"/>
      <c r="I21" s="37"/>
      <c r="J21" s="37"/>
      <c r="K2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" s="33">
        <f t="shared" si="0"/>
        <v>1.4079999999999999</v>
      </c>
      <c r="Q21">
        <v>6</v>
      </c>
      <c r="R21" s="34">
        <f>((SUMIF(G16:G1016,D8,Hoja3!A1:A1001)+SUMIF(H16:H1016,D8,Hoja3!B1:B1001)+SUMIF(I16:I1016,D8,Hoja3!C1:C1001)+SUMIF(J16:J1016,D8,Hoja3!D1:D1001))/1000)*1.05</f>
        <v>0</v>
      </c>
      <c r="S21" s="35">
        <f t="shared" si="1"/>
        <v>0</v>
      </c>
    </row>
    <row r="22" spans="1:19" ht="15.75" x14ac:dyDescent="0.25">
      <c r="A22" s="21" t="s">
        <v>26</v>
      </c>
      <c r="B22" s="22">
        <v>1</v>
      </c>
      <c r="C22" s="23">
        <v>704</v>
      </c>
      <c r="D22" s="24">
        <v>415</v>
      </c>
      <c r="E22" s="25" t="s">
        <v>34</v>
      </c>
      <c r="F22" s="25"/>
      <c r="G22" s="36">
        <v>1</v>
      </c>
      <c r="H22" s="36"/>
      <c r="I22" s="36"/>
      <c r="J22" s="36"/>
      <c r="K2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" s="33">
        <f t="shared" si="0"/>
        <v>0.70399999999999996</v>
      </c>
      <c r="Q22">
        <v>7</v>
      </c>
      <c r="R22" s="34">
        <f>((SUMIF(G16:G1016,D9,Hoja3!A1:A1001)+SUMIF(H16:H1016,D9,Hoja3!B1:B1001)+SUMIF(I16:I1016,D9,Hoja3!C1:C1001)+SUMIF(J16:J1016,D9,Hoja3!D1:D1001))/1000)*1.05</f>
        <v>0</v>
      </c>
      <c r="S22" s="35">
        <f t="shared" si="1"/>
        <v>0</v>
      </c>
    </row>
    <row r="23" spans="1:19" ht="15.75" x14ac:dyDescent="0.25">
      <c r="A23" s="21" t="s">
        <v>26</v>
      </c>
      <c r="B23" s="22">
        <v>2</v>
      </c>
      <c r="C23" s="23">
        <v>496</v>
      </c>
      <c r="D23" s="24">
        <v>200</v>
      </c>
      <c r="E23" s="25" t="s">
        <v>30</v>
      </c>
      <c r="F23" s="25"/>
      <c r="G23" s="37">
        <v>1</v>
      </c>
      <c r="H23" s="37">
        <v>1</v>
      </c>
      <c r="I23" s="37">
        <v>1</v>
      </c>
      <c r="J23" s="37">
        <v>1</v>
      </c>
      <c r="K23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3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3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3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3" s="33">
        <f t="shared" si="0"/>
        <v>2.7839999999999998</v>
      </c>
      <c r="Q23">
        <v>8</v>
      </c>
      <c r="R23" s="34">
        <f>((SUMIF(G16:G1016,D10,Hoja3!A1:A1001)+SUMIF(H16:H1016,D10,Hoja3!B1:B1001)+SUMIF(I16:I1016,D10,Hoja3!C1:C1001)+SUMIF(J16:J1016,D10,Hoja3!D1:D1001))/1000)*1.05</f>
        <v>0</v>
      </c>
      <c r="S23" s="35">
        <f t="shared" si="1"/>
        <v>0</v>
      </c>
    </row>
    <row r="24" spans="1:19" ht="15.75" x14ac:dyDescent="0.25">
      <c r="A24" s="21">
        <v>9117152</v>
      </c>
      <c r="B24" s="22">
        <v>4</v>
      </c>
      <c r="C24" s="23">
        <v>437</v>
      </c>
      <c r="D24" s="24">
        <v>150</v>
      </c>
      <c r="E24" s="25" t="s">
        <v>36</v>
      </c>
      <c r="F24" s="25"/>
      <c r="G24" s="37">
        <v>1</v>
      </c>
      <c r="H24" s="37"/>
      <c r="I24" s="37">
        <v>1</v>
      </c>
      <c r="J24" s="37">
        <v>1</v>
      </c>
      <c r="K24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4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4" s="33">
        <f t="shared" si="0"/>
        <v>2.948</v>
      </c>
      <c r="R24" s="38">
        <f>SUM(R16:R23)</f>
        <v>75.608400000000003</v>
      </c>
      <c r="S24" s="39" t="s">
        <v>27</v>
      </c>
    </row>
    <row r="25" spans="1:19" x14ac:dyDescent="0.2">
      <c r="A25" s="21" t="s">
        <v>26</v>
      </c>
      <c r="B25" s="22">
        <v>4</v>
      </c>
      <c r="C25" s="23">
        <v>364</v>
      </c>
      <c r="D25" s="24">
        <v>150</v>
      </c>
      <c r="E25" s="25" t="s">
        <v>36</v>
      </c>
      <c r="F25" s="25"/>
      <c r="G25" s="37">
        <v>1</v>
      </c>
      <c r="H25" s="37">
        <v>1</v>
      </c>
      <c r="I25" s="37"/>
      <c r="J25" s="37"/>
      <c r="K25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5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" s="33">
        <f t="shared" si="0"/>
        <v>2.9119999999999999</v>
      </c>
    </row>
    <row r="26" spans="1:19" x14ac:dyDescent="0.2">
      <c r="A26" s="21" t="s">
        <v>26</v>
      </c>
      <c r="B26" s="22">
        <v>2</v>
      </c>
      <c r="C26" s="23">
        <v>2394</v>
      </c>
      <c r="D26" s="24">
        <v>500</v>
      </c>
      <c r="E26" s="25" t="s">
        <v>37</v>
      </c>
      <c r="F26" s="25"/>
      <c r="G26" s="37">
        <v>1</v>
      </c>
      <c r="H26" s="37">
        <v>1</v>
      </c>
      <c r="I26" s="37"/>
      <c r="J26" s="37"/>
      <c r="K2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6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" s="33">
        <f t="shared" si="0"/>
        <v>9.5760000000000005</v>
      </c>
    </row>
    <row r="27" spans="1:19" x14ac:dyDescent="0.2">
      <c r="A27" s="21" t="s">
        <v>26</v>
      </c>
      <c r="B27" s="22">
        <v>2</v>
      </c>
      <c r="C27" s="23">
        <v>1240</v>
      </c>
      <c r="D27" s="24">
        <v>500</v>
      </c>
      <c r="E27" s="25" t="s">
        <v>40</v>
      </c>
      <c r="F27" s="25"/>
      <c r="G27" s="37">
        <v>1</v>
      </c>
      <c r="H27" s="37"/>
      <c r="I27" s="37">
        <v>1</v>
      </c>
      <c r="J27" s="37">
        <v>1</v>
      </c>
      <c r="K2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27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27" s="33">
        <f t="shared" si="0"/>
        <v>4.4800000000000004</v>
      </c>
    </row>
    <row r="28" spans="1:19" x14ac:dyDescent="0.2">
      <c r="A28" s="21" t="s">
        <v>26</v>
      </c>
      <c r="B28" s="22">
        <v>2</v>
      </c>
      <c r="C28" s="23">
        <v>2364</v>
      </c>
      <c r="D28" s="24">
        <v>575</v>
      </c>
      <c r="E28" s="25" t="s">
        <v>38</v>
      </c>
      <c r="F28" s="25"/>
      <c r="G28" s="37"/>
      <c r="H28" s="37"/>
      <c r="I28" s="37"/>
      <c r="J28" s="37"/>
      <c r="K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" s="33">
        <f t="shared" si="0"/>
        <v>0</v>
      </c>
    </row>
    <row r="29" spans="1:19" x14ac:dyDescent="0.2">
      <c r="A29" s="21" t="s">
        <v>26</v>
      </c>
      <c r="B29" s="22">
        <v>2</v>
      </c>
      <c r="C29" s="23">
        <v>1240</v>
      </c>
      <c r="D29" s="24">
        <v>70</v>
      </c>
      <c r="E29" s="25" t="s">
        <v>41</v>
      </c>
      <c r="F29" s="25"/>
      <c r="G29" s="37"/>
      <c r="H29" s="37"/>
      <c r="I29" s="37"/>
      <c r="J29" s="37"/>
      <c r="K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" s="33">
        <f t="shared" si="0"/>
        <v>0</v>
      </c>
    </row>
    <row r="30" spans="1:19" x14ac:dyDescent="0.2">
      <c r="A30" s="21" t="s">
        <v>26</v>
      </c>
      <c r="B30" s="22">
        <v>2</v>
      </c>
      <c r="C30" s="23">
        <v>668</v>
      </c>
      <c r="D30" s="24">
        <v>515</v>
      </c>
      <c r="E30" s="25" t="s">
        <v>33</v>
      </c>
      <c r="F30" s="25"/>
      <c r="G30" s="37">
        <v>1</v>
      </c>
      <c r="H30" s="37"/>
      <c r="I30" s="37"/>
      <c r="J30" s="37"/>
      <c r="K3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" s="33">
        <f t="shared" si="0"/>
        <v>1.3360000000000001</v>
      </c>
    </row>
    <row r="31" spans="1:19" x14ac:dyDescent="0.2">
      <c r="A31" s="21" t="s">
        <v>26</v>
      </c>
      <c r="B31" s="22">
        <v>2</v>
      </c>
      <c r="C31" s="23">
        <v>460</v>
      </c>
      <c r="D31" s="24">
        <v>70</v>
      </c>
      <c r="E31" s="25" t="s">
        <v>41</v>
      </c>
      <c r="F31" s="25"/>
      <c r="G31" s="37"/>
      <c r="H31" s="37"/>
      <c r="I31" s="37"/>
      <c r="J31" s="37"/>
      <c r="K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" s="33">
        <f t="shared" si="0"/>
        <v>0</v>
      </c>
    </row>
    <row r="32" spans="1:19" x14ac:dyDescent="0.2">
      <c r="A32" s="21" t="s">
        <v>26</v>
      </c>
      <c r="B32" s="22">
        <v>2</v>
      </c>
      <c r="C32" s="23">
        <v>436</v>
      </c>
      <c r="D32" s="24">
        <v>470</v>
      </c>
      <c r="E32" s="25" t="s">
        <v>42</v>
      </c>
      <c r="F32" s="25"/>
      <c r="G32" s="37">
        <v>1</v>
      </c>
      <c r="H32" s="37"/>
      <c r="I32" s="37">
        <v>1</v>
      </c>
      <c r="J32" s="37">
        <v>1</v>
      </c>
      <c r="K3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32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32" s="33">
        <f t="shared" si="0"/>
        <v>2.7519999999999998</v>
      </c>
    </row>
    <row r="33" spans="1:15" x14ac:dyDescent="0.2">
      <c r="A33" s="21" t="s">
        <v>26</v>
      </c>
      <c r="B33" s="22">
        <v>2</v>
      </c>
      <c r="C33" s="23">
        <v>639</v>
      </c>
      <c r="D33" s="24">
        <v>470</v>
      </c>
      <c r="E33" s="25" t="s">
        <v>43</v>
      </c>
      <c r="F33" s="25"/>
      <c r="G33" s="37">
        <v>1</v>
      </c>
      <c r="H33" s="37">
        <v>1</v>
      </c>
      <c r="I33" s="37"/>
      <c r="J33" s="37"/>
      <c r="K33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3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" s="33">
        <f t="shared" si="0"/>
        <v>2.556</v>
      </c>
    </row>
    <row r="34" spans="1:15" x14ac:dyDescent="0.2">
      <c r="A34" s="21" t="s">
        <v>26</v>
      </c>
      <c r="B34" s="22">
        <v>2</v>
      </c>
      <c r="C34" s="23">
        <v>436</v>
      </c>
      <c r="D34" s="24">
        <v>70</v>
      </c>
      <c r="E34" s="25" t="s">
        <v>41</v>
      </c>
      <c r="F34" s="25"/>
      <c r="G34" s="37"/>
      <c r="H34" s="37"/>
      <c r="I34" s="37"/>
      <c r="J34" s="37"/>
      <c r="K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" s="33">
        <f t="shared" si="0"/>
        <v>0</v>
      </c>
    </row>
    <row r="35" spans="1:15" x14ac:dyDescent="0.2">
      <c r="A35" s="21" t="s">
        <v>26</v>
      </c>
      <c r="B35" s="22">
        <v>2</v>
      </c>
      <c r="C35" s="23">
        <v>390</v>
      </c>
      <c r="D35" s="24">
        <v>70</v>
      </c>
      <c r="E35" s="25" t="s">
        <v>41</v>
      </c>
      <c r="F35" s="25"/>
      <c r="G35" s="37"/>
      <c r="H35" s="37"/>
      <c r="I35" s="37"/>
      <c r="J35" s="37"/>
      <c r="K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" s="33">
        <f t="shared" si="0"/>
        <v>0</v>
      </c>
    </row>
    <row r="36" spans="1:15" x14ac:dyDescent="0.2">
      <c r="A36" s="21" t="s">
        <v>26</v>
      </c>
      <c r="B36" s="22">
        <v>3</v>
      </c>
      <c r="C36" s="23">
        <v>222</v>
      </c>
      <c r="D36" s="24">
        <v>432</v>
      </c>
      <c r="E36" s="25" t="s">
        <v>44</v>
      </c>
      <c r="F36" s="25"/>
      <c r="G36" s="37">
        <v>1</v>
      </c>
      <c r="H36" s="37">
        <v>1</v>
      </c>
      <c r="I36" s="37">
        <v>1</v>
      </c>
      <c r="J36" s="37">
        <v>1</v>
      </c>
      <c r="K36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6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36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36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36" s="33">
        <f t="shared" si="0"/>
        <v>3.9239999999999999</v>
      </c>
    </row>
    <row r="37" spans="1:15" x14ac:dyDescent="0.2">
      <c r="A37" s="21" t="s">
        <v>26</v>
      </c>
      <c r="B37" s="22">
        <v>6</v>
      </c>
      <c r="C37" s="23">
        <v>373</v>
      </c>
      <c r="D37" s="24">
        <v>150</v>
      </c>
      <c r="E37" s="25" t="s">
        <v>45</v>
      </c>
      <c r="F37" s="25"/>
      <c r="G37" s="37">
        <v>1</v>
      </c>
      <c r="H37" s="37"/>
      <c r="I37" s="37">
        <v>1</v>
      </c>
      <c r="J37" s="37">
        <v>1</v>
      </c>
      <c r="K37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 xml:space="preserve">040 BLANCO </v>
      </c>
      <c r="N37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 xml:space="preserve">040 BLANCO </v>
      </c>
      <c r="O37" s="33">
        <f t="shared" si="0"/>
        <v>4.0380000000000003</v>
      </c>
    </row>
    <row r="38" spans="1:15" x14ac:dyDescent="0.2">
      <c r="A38" s="21" t="s">
        <v>26</v>
      </c>
      <c r="B38" s="22">
        <v>6</v>
      </c>
      <c r="C38" s="23">
        <v>414</v>
      </c>
      <c r="D38" s="24">
        <v>150</v>
      </c>
      <c r="E38" s="25" t="s">
        <v>45</v>
      </c>
      <c r="F38" s="25"/>
      <c r="G38" s="37">
        <v>1</v>
      </c>
      <c r="H38" s="37">
        <v>1</v>
      </c>
      <c r="I38" s="37"/>
      <c r="J38" s="37"/>
      <c r="K38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 xml:space="preserve">040 BLANCO </v>
      </c>
      <c r="L38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 xml:space="preserve">040 BLANCO </v>
      </c>
      <c r="M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3">
        <f t="shared" si="0"/>
        <v>4.968</v>
      </c>
    </row>
    <row r="39" spans="1:15" x14ac:dyDescent="0.2">
      <c r="A39" s="21">
        <v>9133342</v>
      </c>
      <c r="B39" s="22">
        <v>1</v>
      </c>
      <c r="C39" s="23">
        <v>745</v>
      </c>
      <c r="D39" s="24">
        <v>475</v>
      </c>
      <c r="E39" s="25" t="s">
        <v>46</v>
      </c>
      <c r="F39" s="25"/>
      <c r="G39" s="37">
        <v>2</v>
      </c>
      <c r="H39" s="37">
        <v>2</v>
      </c>
      <c r="I39" s="37"/>
      <c r="J39" s="37"/>
      <c r="K39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Roble Vicenza gris</v>
      </c>
      <c r="L39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Roble Vicenza gris</v>
      </c>
      <c r="M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" s="33">
        <f t="shared" si="0"/>
        <v>1.49</v>
      </c>
    </row>
    <row r="40" spans="1:15" x14ac:dyDescent="0.2">
      <c r="A40" s="21">
        <v>9133342</v>
      </c>
      <c r="B40" s="22">
        <v>1</v>
      </c>
      <c r="C40" s="23">
        <v>2171</v>
      </c>
      <c r="D40" s="24">
        <v>715</v>
      </c>
      <c r="E40" s="25" t="s">
        <v>47</v>
      </c>
      <c r="F40" s="25"/>
      <c r="G40" s="37">
        <v>2</v>
      </c>
      <c r="H40" s="37">
        <v>2</v>
      </c>
      <c r="I40" s="37">
        <v>2</v>
      </c>
      <c r="J40" s="37">
        <v>2</v>
      </c>
      <c r="K40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Roble Vicenza gris</v>
      </c>
      <c r="L40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Roble Vicenza gris</v>
      </c>
      <c r="M40" s="31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045 Roble Vicenza gris</v>
      </c>
      <c r="N40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Roble Vicenza gris</v>
      </c>
      <c r="O40" s="33">
        <f t="shared" si="0"/>
        <v>5.7720000000000002</v>
      </c>
    </row>
    <row r="41" spans="1:15" x14ac:dyDescent="0.2">
      <c r="A41" s="21">
        <v>9133342</v>
      </c>
      <c r="B41" s="22">
        <v>4</v>
      </c>
      <c r="C41" s="23">
        <v>1086</v>
      </c>
      <c r="D41" s="24">
        <v>300</v>
      </c>
      <c r="E41" s="25" t="s">
        <v>48</v>
      </c>
      <c r="F41" s="25"/>
      <c r="G41" s="37">
        <v>2</v>
      </c>
      <c r="H41" s="37"/>
      <c r="I41" s="37"/>
      <c r="J41" s="37">
        <v>2</v>
      </c>
      <c r="K41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Roble Vicenza gris</v>
      </c>
      <c r="L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32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045 Roble Vicenza gris</v>
      </c>
      <c r="O41" s="33">
        <f t="shared" si="0"/>
        <v>5.5439999999999996</v>
      </c>
    </row>
    <row r="42" spans="1:15" x14ac:dyDescent="0.2">
      <c r="A42" s="21">
        <v>9133342</v>
      </c>
      <c r="B42" s="22">
        <v>4</v>
      </c>
      <c r="C42" s="23">
        <v>350</v>
      </c>
      <c r="D42" s="24">
        <v>300</v>
      </c>
      <c r="E42" s="25" t="s">
        <v>49</v>
      </c>
      <c r="F42" s="25"/>
      <c r="G42" s="37">
        <v>2</v>
      </c>
      <c r="H42" s="37">
        <v>2</v>
      </c>
      <c r="I42" s="37"/>
      <c r="J42" s="37"/>
      <c r="K42" s="30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045 Roble Vicenza gris</v>
      </c>
      <c r="L42" s="30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045 Roble Vicenza gris</v>
      </c>
      <c r="M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" s="33">
        <f t="shared" si="0"/>
        <v>2.8</v>
      </c>
    </row>
    <row r="43" spans="1:15" x14ac:dyDescent="0.2">
      <c r="A43" s="21"/>
      <c r="B43" s="22"/>
      <c r="C43" s="23"/>
      <c r="D43" s="24"/>
      <c r="E43" s="25"/>
      <c r="F43" s="25"/>
      <c r="G43" s="37"/>
      <c r="H43" s="37"/>
      <c r="I43" s="37"/>
      <c r="J43" s="37"/>
      <c r="K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3">
        <f t="shared" si="0"/>
        <v>0</v>
      </c>
    </row>
    <row r="44" spans="1:15" x14ac:dyDescent="0.2">
      <c r="A44" s="21"/>
      <c r="B44" s="22"/>
      <c r="C44" s="23"/>
      <c r="D44" s="24"/>
      <c r="E44" s="25"/>
      <c r="F44" s="25"/>
      <c r="G44" s="37"/>
      <c r="H44" s="37"/>
      <c r="I44" s="37"/>
      <c r="J44" s="37"/>
      <c r="K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3">
        <f t="shared" si="0"/>
        <v>0</v>
      </c>
    </row>
    <row r="45" spans="1:15" x14ac:dyDescent="0.2">
      <c r="A45" s="21"/>
      <c r="B45" s="22"/>
      <c r="C45" s="23"/>
      <c r="D45" s="24"/>
      <c r="E45" s="25"/>
      <c r="F45" s="25"/>
      <c r="G45" s="37"/>
      <c r="H45" s="37"/>
      <c r="I45" s="37"/>
      <c r="J45" s="37"/>
      <c r="K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3">
        <f t="shared" si="0"/>
        <v>0</v>
      </c>
    </row>
    <row r="46" spans="1:15" x14ac:dyDescent="0.2">
      <c r="A46" s="21"/>
      <c r="B46" s="22"/>
      <c r="C46" s="23"/>
      <c r="D46" s="24"/>
      <c r="E46" s="25"/>
      <c r="F46" s="25"/>
      <c r="G46" s="37"/>
      <c r="H46" s="37"/>
      <c r="I46" s="37"/>
      <c r="J46" s="37"/>
      <c r="K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3">
        <f t="shared" si="0"/>
        <v>0</v>
      </c>
    </row>
    <row r="47" spans="1:15" x14ac:dyDescent="0.2">
      <c r="A47" s="21"/>
      <c r="B47" s="22"/>
      <c r="C47" s="23"/>
      <c r="D47" s="24"/>
      <c r="E47" s="25"/>
      <c r="F47" s="25"/>
      <c r="G47" s="37"/>
      <c r="H47" s="37"/>
      <c r="I47" s="37"/>
      <c r="J47" s="37"/>
      <c r="K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3">
        <f t="shared" si="0"/>
        <v>0</v>
      </c>
    </row>
    <row r="48" spans="1:15" x14ac:dyDescent="0.2">
      <c r="A48" s="21"/>
      <c r="B48" s="22"/>
      <c r="C48" s="23"/>
      <c r="D48" s="24"/>
      <c r="E48" s="25"/>
      <c r="F48" s="25"/>
      <c r="G48" s="37"/>
      <c r="H48" s="37"/>
      <c r="I48" s="37"/>
      <c r="J48" s="37"/>
      <c r="K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3">
        <f t="shared" si="0"/>
        <v>0</v>
      </c>
    </row>
    <row r="49" spans="1:15" x14ac:dyDescent="0.2">
      <c r="A49" s="21"/>
      <c r="B49" s="22"/>
      <c r="C49" s="23"/>
      <c r="D49" s="24"/>
      <c r="E49" s="25"/>
      <c r="F49" s="25"/>
      <c r="G49" s="37"/>
      <c r="H49" s="37"/>
      <c r="I49" s="37"/>
      <c r="J49" s="37"/>
      <c r="K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3">
        <f t="shared" si="0"/>
        <v>0</v>
      </c>
    </row>
    <row r="50" spans="1:15" x14ac:dyDescent="0.2">
      <c r="A50" s="21"/>
      <c r="B50" s="22"/>
      <c r="C50" s="23"/>
      <c r="D50" s="24"/>
      <c r="E50" s="25"/>
      <c r="F50" s="25"/>
      <c r="G50" s="37"/>
      <c r="H50" s="37"/>
      <c r="I50" s="37"/>
      <c r="J50" s="37"/>
      <c r="K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3">
        <f t="shared" si="0"/>
        <v>0</v>
      </c>
    </row>
    <row r="51" spans="1:15" x14ac:dyDescent="0.2">
      <c r="A51" s="21"/>
      <c r="B51" s="22"/>
      <c r="C51" s="23"/>
      <c r="D51" s="24"/>
      <c r="E51" s="25"/>
      <c r="F51" s="25"/>
      <c r="G51" s="37"/>
      <c r="H51" s="37"/>
      <c r="I51" s="37"/>
      <c r="J51" s="37"/>
      <c r="K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3">
        <f t="shared" si="0"/>
        <v>0</v>
      </c>
    </row>
    <row r="52" spans="1:15" x14ac:dyDescent="0.2">
      <c r="A52" s="21"/>
      <c r="B52" s="22"/>
      <c r="C52" s="23"/>
      <c r="D52" s="24"/>
      <c r="E52" s="25"/>
      <c r="F52" s="25"/>
      <c r="G52" s="37"/>
      <c r="H52" s="37"/>
      <c r="I52" s="37"/>
      <c r="J52" s="37"/>
      <c r="K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3">
        <f t="shared" si="0"/>
        <v>0</v>
      </c>
    </row>
    <row r="53" spans="1:15" x14ac:dyDescent="0.2">
      <c r="A53" s="21"/>
      <c r="B53" s="22"/>
      <c r="C53" s="23"/>
      <c r="D53" s="24"/>
      <c r="E53" s="25"/>
      <c r="F53" s="25"/>
      <c r="G53" s="37"/>
      <c r="H53" s="37"/>
      <c r="I53" s="37"/>
      <c r="J53" s="37"/>
      <c r="K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3">
        <f t="shared" si="0"/>
        <v>0</v>
      </c>
    </row>
    <row r="54" spans="1:15" x14ac:dyDescent="0.2">
      <c r="A54" s="21"/>
      <c r="B54" s="22"/>
      <c r="C54" s="23"/>
      <c r="D54" s="24"/>
      <c r="E54" s="25"/>
      <c r="F54" s="25"/>
      <c r="G54" s="37"/>
      <c r="H54" s="37"/>
      <c r="I54" s="37"/>
      <c r="J54" s="37"/>
      <c r="K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3">
        <f t="shared" si="0"/>
        <v>0</v>
      </c>
    </row>
    <row r="55" spans="1:15" x14ac:dyDescent="0.2">
      <c r="A55" s="21"/>
      <c r="B55" s="22"/>
      <c r="C55" s="23"/>
      <c r="D55" s="24"/>
      <c r="E55" s="25"/>
      <c r="F55" s="25"/>
      <c r="G55" s="37"/>
      <c r="H55" s="37"/>
      <c r="I55" s="37"/>
      <c r="J55" s="37"/>
      <c r="K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3">
        <f t="shared" si="0"/>
        <v>0</v>
      </c>
    </row>
    <row r="56" spans="1:15" x14ac:dyDescent="0.2">
      <c r="A56" s="21"/>
      <c r="B56" s="22"/>
      <c r="C56" s="23"/>
      <c r="D56" s="24"/>
      <c r="E56" s="25"/>
      <c r="F56" s="25"/>
      <c r="G56" s="37"/>
      <c r="H56" s="37"/>
      <c r="I56" s="37"/>
      <c r="J56" s="37"/>
      <c r="K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3">
        <f t="shared" si="0"/>
        <v>0</v>
      </c>
    </row>
    <row r="57" spans="1:15" x14ac:dyDescent="0.2">
      <c r="A57" s="21"/>
      <c r="B57" s="22"/>
      <c r="C57" s="23"/>
      <c r="D57" s="24"/>
      <c r="E57" s="25"/>
      <c r="F57" s="25"/>
      <c r="G57" s="37"/>
      <c r="H57" s="37"/>
      <c r="I57" s="37"/>
      <c r="J57" s="37"/>
      <c r="K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3">
        <f t="shared" si="0"/>
        <v>0</v>
      </c>
    </row>
    <row r="58" spans="1:15" x14ac:dyDescent="0.2">
      <c r="A58" s="21"/>
      <c r="B58" s="22"/>
      <c r="C58" s="23"/>
      <c r="D58" s="24"/>
      <c r="E58" s="25"/>
      <c r="F58" s="25"/>
      <c r="G58" s="37"/>
      <c r="H58" s="37"/>
      <c r="I58" s="37"/>
      <c r="J58" s="37"/>
      <c r="K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3">
        <f t="shared" si="0"/>
        <v>0</v>
      </c>
    </row>
    <row r="59" spans="1:15" x14ac:dyDescent="0.2">
      <c r="A59" s="21"/>
      <c r="B59" s="22"/>
      <c r="C59" s="23"/>
      <c r="D59" s="24"/>
      <c r="E59" s="25"/>
      <c r="F59" s="25"/>
      <c r="G59" s="37"/>
      <c r="H59" s="37"/>
      <c r="I59" s="37"/>
      <c r="J59" s="37"/>
      <c r="K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3">
        <f t="shared" si="0"/>
        <v>0</v>
      </c>
    </row>
    <row r="60" spans="1:15" x14ac:dyDescent="0.2">
      <c r="A60" s="21"/>
      <c r="B60" s="22"/>
      <c r="C60" s="23"/>
      <c r="D60" s="24"/>
      <c r="E60" s="25"/>
      <c r="F60" s="25"/>
      <c r="G60" s="37"/>
      <c r="H60" s="37"/>
      <c r="I60" s="37"/>
      <c r="J60" s="37"/>
      <c r="K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3">
        <f t="shared" si="0"/>
        <v>0</v>
      </c>
    </row>
    <row r="61" spans="1:15" x14ac:dyDescent="0.2">
      <c r="A61" s="21"/>
      <c r="B61" s="22"/>
      <c r="C61" s="23"/>
      <c r="D61" s="24"/>
      <c r="E61" s="25"/>
      <c r="F61" s="25"/>
      <c r="G61" s="37"/>
      <c r="H61" s="37"/>
      <c r="I61" s="37"/>
      <c r="J61" s="37"/>
      <c r="K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3">
        <f t="shared" si="0"/>
        <v>0</v>
      </c>
    </row>
    <row r="62" spans="1:15" x14ac:dyDescent="0.2">
      <c r="A62" s="21"/>
      <c r="B62" s="22"/>
      <c r="C62" s="23"/>
      <c r="D62" s="24"/>
      <c r="E62" s="25"/>
      <c r="F62" s="25"/>
      <c r="G62" s="37"/>
      <c r="H62" s="37"/>
      <c r="I62" s="37"/>
      <c r="J62" s="37"/>
      <c r="K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3">
        <f t="shared" si="0"/>
        <v>0</v>
      </c>
    </row>
    <row r="63" spans="1:15" x14ac:dyDescent="0.2">
      <c r="A63" s="21"/>
      <c r="B63" s="22"/>
      <c r="C63" s="23"/>
      <c r="D63" s="24"/>
      <c r="E63" s="25"/>
      <c r="F63" s="25"/>
      <c r="G63" s="37"/>
      <c r="H63" s="37"/>
      <c r="I63" s="37"/>
      <c r="J63" s="37"/>
      <c r="K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3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7"/>
      <c r="H64" s="37"/>
      <c r="I64" s="37"/>
      <c r="J64" s="37"/>
      <c r="K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3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7"/>
      <c r="H65" s="37"/>
      <c r="I65" s="37"/>
      <c r="J65" s="37"/>
      <c r="K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3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7"/>
      <c r="H66" s="37"/>
      <c r="I66" s="37"/>
      <c r="J66" s="37"/>
      <c r="K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3">
        <f t="shared" si="0"/>
        <v>0</v>
      </c>
    </row>
    <row r="67" spans="1:15" x14ac:dyDescent="0.2">
      <c r="A67" s="21"/>
      <c r="B67" s="22"/>
      <c r="C67" s="23"/>
      <c r="D67" s="24"/>
      <c r="E67" s="25"/>
      <c r="F67" s="25"/>
      <c r="G67" s="37"/>
      <c r="H67" s="37"/>
      <c r="I67" s="37"/>
      <c r="J67" s="37"/>
      <c r="K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3">
        <f t="shared" si="0"/>
        <v>0</v>
      </c>
    </row>
    <row r="68" spans="1:15" x14ac:dyDescent="0.2">
      <c r="A68" s="21"/>
      <c r="B68" s="22"/>
      <c r="C68" s="23"/>
      <c r="D68" s="24"/>
      <c r="E68" s="25"/>
      <c r="F68" s="25"/>
      <c r="G68" s="37"/>
      <c r="H68" s="37"/>
      <c r="I68" s="37"/>
      <c r="J68" s="37"/>
      <c r="K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3">
        <f t="shared" si="0"/>
        <v>0</v>
      </c>
    </row>
    <row r="69" spans="1:15" x14ac:dyDescent="0.2">
      <c r="A69" s="21"/>
      <c r="B69" s="22"/>
      <c r="C69" s="23"/>
      <c r="D69" s="24"/>
      <c r="E69" s="25"/>
      <c r="F69" s="25"/>
      <c r="G69" s="37"/>
      <c r="H69" s="37"/>
      <c r="I69" s="37"/>
      <c r="J69" s="37"/>
      <c r="K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3">
        <f t="shared" si="0"/>
        <v>0</v>
      </c>
    </row>
    <row r="70" spans="1:15" x14ac:dyDescent="0.2">
      <c r="A70" s="21"/>
      <c r="B70" s="22"/>
      <c r="C70" s="23"/>
      <c r="D70" s="24"/>
      <c r="E70" s="25"/>
      <c r="F70" s="25"/>
      <c r="G70" s="37"/>
      <c r="H70" s="37"/>
      <c r="I70" s="37"/>
      <c r="J70" s="37"/>
      <c r="K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3">
        <f t="shared" si="0"/>
        <v>0</v>
      </c>
    </row>
    <row r="71" spans="1:15" x14ac:dyDescent="0.2">
      <c r="A71" s="21"/>
      <c r="B71" s="22"/>
      <c r="C71" s="23"/>
      <c r="D71" s="24"/>
      <c r="E71" s="25"/>
      <c r="F71" s="25"/>
      <c r="G71" s="37"/>
      <c r="H71" s="37"/>
      <c r="I71" s="37"/>
      <c r="J71" s="37"/>
      <c r="K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3">
        <f t="shared" si="0"/>
        <v>0</v>
      </c>
    </row>
    <row r="72" spans="1:15" x14ac:dyDescent="0.2">
      <c r="A72" s="21"/>
      <c r="B72" s="22"/>
      <c r="C72" s="23"/>
      <c r="D72" s="24"/>
      <c r="E72" s="25"/>
      <c r="F72" s="25"/>
      <c r="G72" s="37"/>
      <c r="H72" s="37"/>
      <c r="I72" s="37"/>
      <c r="J72" s="37"/>
      <c r="K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3">
        <f t="shared" si="0"/>
        <v>0</v>
      </c>
    </row>
    <row r="73" spans="1:15" x14ac:dyDescent="0.2">
      <c r="A73" s="21"/>
      <c r="B73" s="22"/>
      <c r="C73" s="23"/>
      <c r="D73" s="24"/>
      <c r="E73" s="25"/>
      <c r="F73" s="25"/>
      <c r="G73" s="37"/>
      <c r="H73" s="37"/>
      <c r="I73" s="37"/>
      <c r="J73" s="37"/>
      <c r="K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3">
        <f t="shared" si="0"/>
        <v>0</v>
      </c>
    </row>
    <row r="74" spans="1:15" x14ac:dyDescent="0.2">
      <c r="A74" s="21"/>
      <c r="B74" s="22"/>
      <c r="C74" s="23"/>
      <c r="D74" s="24"/>
      <c r="E74" s="25"/>
      <c r="F74" s="25"/>
      <c r="G74" s="37"/>
      <c r="H74" s="37"/>
      <c r="I74" s="37"/>
      <c r="J74" s="37"/>
      <c r="K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3">
        <f t="shared" si="0"/>
        <v>0</v>
      </c>
    </row>
    <row r="75" spans="1:15" x14ac:dyDescent="0.2">
      <c r="A75" s="21"/>
      <c r="B75" s="22"/>
      <c r="C75" s="23"/>
      <c r="D75" s="24"/>
      <c r="E75" s="25"/>
      <c r="F75" s="25"/>
      <c r="G75" s="37"/>
      <c r="H75" s="37"/>
      <c r="I75" s="37"/>
      <c r="J75" s="37"/>
      <c r="K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3">
        <f t="shared" si="0"/>
        <v>0</v>
      </c>
    </row>
    <row r="76" spans="1:15" x14ac:dyDescent="0.2">
      <c r="A76" s="21"/>
      <c r="B76" s="22"/>
      <c r="C76" s="23"/>
      <c r="D76" s="24"/>
      <c r="E76" s="25"/>
      <c r="F76" s="25"/>
      <c r="G76" s="37"/>
      <c r="H76" s="37"/>
      <c r="I76" s="37"/>
      <c r="J76" s="37"/>
      <c r="K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3">
        <f t="shared" si="0"/>
        <v>0</v>
      </c>
    </row>
    <row r="77" spans="1:15" x14ac:dyDescent="0.2">
      <c r="A77" s="21"/>
      <c r="B77" s="22"/>
      <c r="C77" s="23"/>
      <c r="D77" s="24"/>
      <c r="E77" s="25"/>
      <c r="F77" s="25"/>
      <c r="G77" s="37"/>
      <c r="H77" s="37"/>
      <c r="I77" s="37"/>
      <c r="J77" s="37"/>
      <c r="K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3">
        <f t="shared" si="0"/>
        <v>0</v>
      </c>
    </row>
    <row r="78" spans="1:15" x14ac:dyDescent="0.2">
      <c r="A78" s="21"/>
      <c r="B78" s="22"/>
      <c r="C78" s="23"/>
      <c r="D78" s="24"/>
      <c r="E78" s="25"/>
      <c r="F78" s="25"/>
      <c r="G78" s="37"/>
      <c r="H78" s="37"/>
      <c r="I78" s="37"/>
      <c r="J78" s="37"/>
      <c r="K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3">
        <f t="shared" si="0"/>
        <v>0</v>
      </c>
    </row>
    <row r="79" spans="1:15" x14ac:dyDescent="0.2">
      <c r="A79" s="21"/>
      <c r="B79" s="22"/>
      <c r="C79" s="23"/>
      <c r="D79" s="24"/>
      <c r="E79" s="25"/>
      <c r="F79" s="25"/>
      <c r="G79" s="37"/>
      <c r="H79" s="37"/>
      <c r="I79" s="37"/>
      <c r="J79" s="37"/>
      <c r="K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3">
        <f t="shared" si="0"/>
        <v>0</v>
      </c>
    </row>
    <row r="80" spans="1:15" x14ac:dyDescent="0.2">
      <c r="A80" s="21"/>
      <c r="B80" s="22"/>
      <c r="C80" s="23"/>
      <c r="D80" s="24"/>
      <c r="E80" s="25"/>
      <c r="F80" s="25"/>
      <c r="G80" s="37"/>
      <c r="H80" s="37"/>
      <c r="I80" s="37"/>
      <c r="J80" s="37"/>
      <c r="K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3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7"/>
      <c r="H81" s="37"/>
      <c r="I81" s="37"/>
      <c r="J81" s="37"/>
      <c r="K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3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7"/>
      <c r="H82" s="37"/>
      <c r="I82" s="37"/>
      <c r="J82" s="37"/>
      <c r="K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3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7"/>
      <c r="H83" s="37"/>
      <c r="I83" s="37"/>
      <c r="J83" s="37"/>
      <c r="K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3">
        <f t="shared" si="2"/>
        <v>0</v>
      </c>
    </row>
    <row r="84" spans="1:15" x14ac:dyDescent="0.2">
      <c r="A84" s="21"/>
      <c r="B84" s="22"/>
      <c r="C84" s="23"/>
      <c r="D84" s="24"/>
      <c r="E84" s="25"/>
      <c r="F84" s="25"/>
      <c r="G84" s="37"/>
      <c r="H84" s="37"/>
      <c r="I84" s="37"/>
      <c r="J84" s="37"/>
      <c r="K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3">
        <f t="shared" si="2"/>
        <v>0</v>
      </c>
    </row>
    <row r="85" spans="1:15" x14ac:dyDescent="0.2">
      <c r="A85" s="21"/>
      <c r="B85" s="22"/>
      <c r="C85" s="23"/>
      <c r="D85" s="24"/>
      <c r="E85" s="25"/>
      <c r="F85" s="25"/>
      <c r="G85" s="37"/>
      <c r="H85" s="37"/>
      <c r="I85" s="37"/>
      <c r="J85" s="37"/>
      <c r="K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3">
        <f t="shared" si="2"/>
        <v>0</v>
      </c>
    </row>
    <row r="86" spans="1:15" x14ac:dyDescent="0.2">
      <c r="A86" s="21"/>
      <c r="B86" s="22"/>
      <c r="C86" s="23"/>
      <c r="D86" s="24"/>
      <c r="E86" s="25"/>
      <c r="F86" s="25"/>
      <c r="G86" s="37"/>
      <c r="H86" s="37"/>
      <c r="I86" s="37"/>
      <c r="J86" s="37"/>
      <c r="K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3">
        <f t="shared" si="2"/>
        <v>0</v>
      </c>
    </row>
    <row r="87" spans="1:15" x14ac:dyDescent="0.2">
      <c r="A87" s="21"/>
      <c r="B87" s="22"/>
      <c r="C87" s="23"/>
      <c r="D87" s="24"/>
      <c r="E87" s="25"/>
      <c r="F87" s="25"/>
      <c r="G87" s="37"/>
      <c r="H87" s="37"/>
      <c r="I87" s="37"/>
      <c r="J87" s="37"/>
      <c r="K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3">
        <f t="shared" si="2"/>
        <v>0</v>
      </c>
    </row>
    <row r="88" spans="1:15" x14ac:dyDescent="0.2">
      <c r="A88" s="21"/>
      <c r="B88" s="22"/>
      <c r="C88" s="23"/>
      <c r="D88" s="24"/>
      <c r="E88" s="25"/>
      <c r="F88" s="25"/>
      <c r="G88" s="37"/>
      <c r="H88" s="37"/>
      <c r="I88" s="37"/>
      <c r="J88" s="37"/>
      <c r="K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3">
        <f t="shared" si="2"/>
        <v>0</v>
      </c>
    </row>
    <row r="89" spans="1:15" x14ac:dyDescent="0.2">
      <c r="A89" s="21"/>
      <c r="B89" s="22"/>
      <c r="C89" s="23"/>
      <c r="D89" s="24"/>
      <c r="E89" s="25"/>
      <c r="F89" s="25"/>
      <c r="G89" s="37"/>
      <c r="H89" s="37"/>
      <c r="I89" s="37"/>
      <c r="J89" s="37"/>
      <c r="K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3">
        <f t="shared" si="2"/>
        <v>0</v>
      </c>
    </row>
    <row r="90" spans="1:15" x14ac:dyDescent="0.2">
      <c r="A90" s="21"/>
      <c r="B90" s="22"/>
      <c r="C90" s="23"/>
      <c r="D90" s="24"/>
      <c r="E90" s="25"/>
      <c r="F90" s="25"/>
      <c r="G90" s="37"/>
      <c r="H90" s="37"/>
      <c r="I90" s="37"/>
      <c r="J90" s="37"/>
      <c r="K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3">
        <f t="shared" si="2"/>
        <v>0</v>
      </c>
    </row>
    <row r="91" spans="1:15" x14ac:dyDescent="0.2">
      <c r="A91" s="21"/>
      <c r="B91" s="22"/>
      <c r="C91" s="23"/>
      <c r="D91" s="24"/>
      <c r="E91" s="25"/>
      <c r="F91" s="25"/>
      <c r="G91" s="37"/>
      <c r="H91" s="37"/>
      <c r="I91" s="37"/>
      <c r="J91" s="37"/>
      <c r="K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3">
        <f t="shared" si="2"/>
        <v>0</v>
      </c>
    </row>
    <row r="92" spans="1:15" x14ac:dyDescent="0.2">
      <c r="A92" s="21"/>
      <c r="B92" s="22"/>
      <c r="C92" s="23"/>
      <c r="D92" s="24"/>
      <c r="E92" s="25"/>
      <c r="F92" s="25"/>
      <c r="G92" s="37"/>
      <c r="H92" s="37"/>
      <c r="I92" s="37"/>
      <c r="J92" s="37"/>
      <c r="K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3">
        <f t="shared" si="2"/>
        <v>0</v>
      </c>
    </row>
    <row r="93" spans="1:15" x14ac:dyDescent="0.2">
      <c r="A93" s="21"/>
      <c r="B93" s="22"/>
      <c r="C93" s="23"/>
      <c r="D93" s="24"/>
      <c r="E93" s="25"/>
      <c r="F93" s="25"/>
      <c r="G93" s="37"/>
      <c r="H93" s="37"/>
      <c r="I93" s="37"/>
      <c r="J93" s="37"/>
      <c r="K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3">
        <f t="shared" si="2"/>
        <v>0</v>
      </c>
    </row>
    <row r="94" spans="1:15" x14ac:dyDescent="0.2">
      <c r="A94" s="21"/>
      <c r="B94" s="22"/>
      <c r="C94" s="23"/>
      <c r="D94" s="24"/>
      <c r="E94" s="25"/>
      <c r="F94" s="25"/>
      <c r="G94" s="37"/>
      <c r="H94" s="37"/>
      <c r="I94" s="37"/>
      <c r="J94" s="37"/>
      <c r="K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3">
        <f t="shared" si="2"/>
        <v>0</v>
      </c>
    </row>
    <row r="95" spans="1:15" x14ac:dyDescent="0.2">
      <c r="A95" s="21"/>
      <c r="B95" s="22"/>
      <c r="C95" s="23"/>
      <c r="D95" s="24"/>
      <c r="E95" s="25"/>
      <c r="F95" s="25"/>
      <c r="G95" s="37"/>
      <c r="H95" s="37"/>
      <c r="I95" s="37"/>
      <c r="J95" s="37"/>
      <c r="K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3">
        <f t="shared" si="2"/>
        <v>0</v>
      </c>
    </row>
    <row r="96" spans="1:15" x14ac:dyDescent="0.2">
      <c r="A96" s="21"/>
      <c r="B96" s="22"/>
      <c r="C96" s="23"/>
      <c r="D96" s="24"/>
      <c r="E96" s="25"/>
      <c r="F96" s="25"/>
      <c r="G96" s="37"/>
      <c r="H96" s="37"/>
      <c r="I96" s="37"/>
      <c r="J96" s="37"/>
      <c r="K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3">
        <f t="shared" si="2"/>
        <v>0</v>
      </c>
    </row>
    <row r="97" spans="1:15" x14ac:dyDescent="0.2">
      <c r="A97" s="21"/>
      <c r="B97" s="22"/>
      <c r="C97" s="23"/>
      <c r="D97" s="24"/>
      <c r="E97" s="25"/>
      <c r="F97" s="25"/>
      <c r="G97" s="37"/>
      <c r="H97" s="37"/>
      <c r="I97" s="37"/>
      <c r="J97" s="37"/>
      <c r="K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3">
        <f t="shared" si="2"/>
        <v>0</v>
      </c>
    </row>
    <row r="98" spans="1:15" x14ac:dyDescent="0.2">
      <c r="A98" s="21"/>
      <c r="B98" s="22"/>
      <c r="C98" s="23"/>
      <c r="D98" s="24"/>
      <c r="E98" s="25"/>
      <c r="F98" s="25"/>
      <c r="G98" s="37"/>
      <c r="H98" s="37"/>
      <c r="I98" s="37"/>
      <c r="J98" s="37"/>
      <c r="K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3">
        <f t="shared" si="2"/>
        <v>0</v>
      </c>
    </row>
    <row r="99" spans="1:15" x14ac:dyDescent="0.2">
      <c r="A99" s="21"/>
      <c r="B99" s="22"/>
      <c r="C99" s="23"/>
      <c r="D99" s="24"/>
      <c r="E99" s="25"/>
      <c r="F99" s="25"/>
      <c r="G99" s="37"/>
      <c r="H99" s="37"/>
      <c r="I99" s="37"/>
      <c r="J99" s="37"/>
      <c r="K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3">
        <f t="shared" si="2"/>
        <v>0</v>
      </c>
    </row>
    <row r="100" spans="1:15" x14ac:dyDescent="0.2">
      <c r="A100" s="21"/>
      <c r="B100" s="22"/>
      <c r="C100" s="23"/>
      <c r="D100" s="24"/>
      <c r="E100" s="25"/>
      <c r="F100" s="25"/>
      <c r="G100" s="37"/>
      <c r="H100" s="37"/>
      <c r="I100" s="37"/>
      <c r="J100" s="37"/>
      <c r="K1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3">
        <f t="shared" si="2"/>
        <v>0</v>
      </c>
    </row>
    <row r="101" spans="1:15" x14ac:dyDescent="0.2">
      <c r="A101" s="21"/>
      <c r="B101" s="22"/>
      <c r="C101" s="23"/>
      <c r="D101" s="24"/>
      <c r="E101" s="25"/>
      <c r="F101" s="25"/>
      <c r="G101" s="37"/>
      <c r="H101" s="37"/>
      <c r="I101" s="37"/>
      <c r="J101" s="37"/>
      <c r="K1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3">
        <f t="shared" si="2"/>
        <v>0</v>
      </c>
    </row>
    <row r="102" spans="1:15" x14ac:dyDescent="0.2">
      <c r="A102" s="21"/>
      <c r="B102" s="22"/>
      <c r="C102" s="23"/>
      <c r="D102" s="24"/>
      <c r="E102" s="25"/>
      <c r="F102" s="25"/>
      <c r="G102" s="37"/>
      <c r="H102" s="37"/>
      <c r="I102" s="37"/>
      <c r="J102" s="37"/>
      <c r="K1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3">
        <f t="shared" si="2"/>
        <v>0</v>
      </c>
    </row>
    <row r="103" spans="1:15" x14ac:dyDescent="0.2">
      <c r="A103" s="21"/>
      <c r="B103" s="22"/>
      <c r="C103" s="23"/>
      <c r="D103" s="24"/>
      <c r="E103" s="25"/>
      <c r="F103" s="25"/>
      <c r="G103" s="37"/>
      <c r="H103" s="37"/>
      <c r="I103" s="37"/>
      <c r="J103" s="37"/>
      <c r="K1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3">
        <f t="shared" si="2"/>
        <v>0</v>
      </c>
    </row>
    <row r="104" spans="1:15" x14ac:dyDescent="0.2">
      <c r="A104" s="21"/>
      <c r="B104" s="22"/>
      <c r="C104" s="23"/>
      <c r="D104" s="24"/>
      <c r="E104" s="25"/>
      <c r="F104" s="25"/>
      <c r="G104" s="37"/>
      <c r="H104" s="37"/>
      <c r="I104" s="37"/>
      <c r="J104" s="37"/>
      <c r="K1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3">
        <f t="shared" si="2"/>
        <v>0</v>
      </c>
    </row>
    <row r="105" spans="1:15" x14ac:dyDescent="0.2">
      <c r="A105" s="21"/>
      <c r="B105" s="22"/>
      <c r="C105" s="23"/>
      <c r="D105" s="24"/>
      <c r="E105" s="25"/>
      <c r="F105" s="25"/>
      <c r="G105" s="37"/>
      <c r="H105" s="37"/>
      <c r="I105" s="37"/>
      <c r="J105" s="37"/>
      <c r="K1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3">
        <f t="shared" si="2"/>
        <v>0</v>
      </c>
    </row>
    <row r="106" spans="1:15" x14ac:dyDescent="0.2">
      <c r="A106" s="21"/>
      <c r="B106" s="22"/>
      <c r="C106" s="23"/>
      <c r="D106" s="24"/>
      <c r="E106" s="25"/>
      <c r="F106" s="25"/>
      <c r="G106" s="37"/>
      <c r="H106" s="37"/>
      <c r="I106" s="37"/>
      <c r="J106" s="37"/>
      <c r="K1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3">
        <f t="shared" si="2"/>
        <v>0</v>
      </c>
    </row>
    <row r="107" spans="1:15" x14ac:dyDescent="0.2">
      <c r="A107" s="21"/>
      <c r="B107" s="22"/>
      <c r="C107" s="23"/>
      <c r="D107" s="24"/>
      <c r="E107" s="25"/>
      <c r="F107" s="25"/>
      <c r="G107" s="37"/>
      <c r="H107" s="37"/>
      <c r="I107" s="37"/>
      <c r="J107" s="37"/>
      <c r="K1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3">
        <f t="shared" si="2"/>
        <v>0</v>
      </c>
    </row>
    <row r="108" spans="1:15" x14ac:dyDescent="0.2">
      <c r="A108" s="21"/>
      <c r="B108" s="22"/>
      <c r="C108" s="23"/>
      <c r="D108" s="24"/>
      <c r="E108" s="25"/>
      <c r="F108" s="25"/>
      <c r="G108" s="37"/>
      <c r="H108" s="37"/>
      <c r="I108" s="37"/>
      <c r="J108" s="37"/>
      <c r="K1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3">
        <f t="shared" si="2"/>
        <v>0</v>
      </c>
    </row>
    <row r="109" spans="1:15" x14ac:dyDescent="0.2">
      <c r="A109" s="21"/>
      <c r="B109" s="22"/>
      <c r="C109" s="23"/>
      <c r="D109" s="24"/>
      <c r="E109" s="25"/>
      <c r="F109" s="25"/>
      <c r="G109" s="37"/>
      <c r="H109" s="37"/>
      <c r="I109" s="37"/>
      <c r="J109" s="37"/>
      <c r="K1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3">
        <f t="shared" si="2"/>
        <v>0</v>
      </c>
    </row>
    <row r="110" spans="1:15" x14ac:dyDescent="0.2">
      <c r="A110" s="21"/>
      <c r="B110" s="22"/>
      <c r="C110" s="23"/>
      <c r="D110" s="24"/>
      <c r="E110" s="25"/>
      <c r="F110" s="25"/>
      <c r="G110" s="37"/>
      <c r="H110" s="37"/>
      <c r="I110" s="37"/>
      <c r="J110" s="37"/>
      <c r="K1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3">
        <f t="shared" si="2"/>
        <v>0</v>
      </c>
    </row>
    <row r="111" spans="1:15" x14ac:dyDescent="0.2">
      <c r="A111" s="21"/>
      <c r="B111" s="22"/>
      <c r="C111" s="23"/>
      <c r="D111" s="24"/>
      <c r="E111" s="25"/>
      <c r="F111" s="25"/>
      <c r="G111" s="37"/>
      <c r="H111" s="37"/>
      <c r="I111" s="37"/>
      <c r="J111" s="37"/>
      <c r="K1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3">
        <f t="shared" si="2"/>
        <v>0</v>
      </c>
    </row>
    <row r="112" spans="1:15" x14ac:dyDescent="0.2">
      <c r="A112" s="21"/>
      <c r="B112" s="22"/>
      <c r="C112" s="23"/>
      <c r="D112" s="24"/>
      <c r="E112" s="25"/>
      <c r="F112" s="25"/>
      <c r="G112" s="37"/>
      <c r="H112" s="37"/>
      <c r="I112" s="37"/>
      <c r="J112" s="37"/>
      <c r="K1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3">
        <f t="shared" si="2"/>
        <v>0</v>
      </c>
    </row>
    <row r="113" spans="1:15" x14ac:dyDescent="0.2">
      <c r="A113" s="21"/>
      <c r="B113" s="22"/>
      <c r="C113" s="23"/>
      <c r="D113" s="24"/>
      <c r="E113" s="25"/>
      <c r="F113" s="25"/>
      <c r="G113" s="37"/>
      <c r="H113" s="37"/>
      <c r="I113" s="37"/>
      <c r="J113" s="37"/>
      <c r="K1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3">
        <f t="shared" si="2"/>
        <v>0</v>
      </c>
    </row>
    <row r="114" spans="1:15" x14ac:dyDescent="0.2">
      <c r="A114" s="21"/>
      <c r="B114" s="22"/>
      <c r="C114" s="23"/>
      <c r="D114" s="24"/>
      <c r="E114" s="25"/>
      <c r="F114" s="25"/>
      <c r="G114" s="37"/>
      <c r="H114" s="37"/>
      <c r="I114" s="37"/>
      <c r="J114" s="37"/>
      <c r="K1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3">
        <f t="shared" si="2"/>
        <v>0</v>
      </c>
    </row>
    <row r="115" spans="1:15" x14ac:dyDescent="0.2">
      <c r="A115" s="21"/>
      <c r="B115" s="22"/>
      <c r="C115" s="23"/>
      <c r="D115" s="24"/>
      <c r="E115" s="25"/>
      <c r="F115" s="25"/>
      <c r="G115" s="37"/>
      <c r="H115" s="37"/>
      <c r="I115" s="37"/>
      <c r="J115" s="37"/>
      <c r="K1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3">
        <f t="shared" si="2"/>
        <v>0</v>
      </c>
    </row>
    <row r="116" spans="1:15" x14ac:dyDescent="0.2">
      <c r="A116" s="21"/>
      <c r="B116" s="22"/>
      <c r="C116" s="23"/>
      <c r="D116" s="24"/>
      <c r="E116" s="25"/>
      <c r="F116" s="25"/>
      <c r="G116" s="37"/>
      <c r="H116" s="37"/>
      <c r="I116" s="37"/>
      <c r="J116" s="37"/>
      <c r="K1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3">
        <f t="shared" si="2"/>
        <v>0</v>
      </c>
    </row>
    <row r="117" spans="1:15" x14ac:dyDescent="0.2">
      <c r="A117" s="21"/>
      <c r="B117" s="22"/>
      <c r="C117" s="23"/>
      <c r="D117" s="24"/>
      <c r="E117" s="25"/>
      <c r="F117" s="25"/>
      <c r="G117" s="37"/>
      <c r="H117" s="37"/>
      <c r="I117" s="37"/>
      <c r="J117" s="37"/>
      <c r="K1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3">
        <f t="shared" si="2"/>
        <v>0</v>
      </c>
    </row>
    <row r="118" spans="1:15" x14ac:dyDescent="0.2">
      <c r="A118" s="21"/>
      <c r="B118" s="22"/>
      <c r="C118" s="23"/>
      <c r="D118" s="24"/>
      <c r="E118" s="25"/>
      <c r="F118" s="25"/>
      <c r="G118" s="37"/>
      <c r="H118" s="37"/>
      <c r="I118" s="37"/>
      <c r="J118" s="37"/>
      <c r="K1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3">
        <f t="shared" si="2"/>
        <v>0</v>
      </c>
    </row>
    <row r="119" spans="1:15" x14ac:dyDescent="0.2">
      <c r="A119" s="21"/>
      <c r="B119" s="22"/>
      <c r="C119" s="23"/>
      <c r="D119" s="24"/>
      <c r="E119" s="25"/>
      <c r="F119" s="25"/>
      <c r="G119" s="37"/>
      <c r="H119" s="37"/>
      <c r="I119" s="37"/>
      <c r="J119" s="37"/>
      <c r="K1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3">
        <f t="shared" si="2"/>
        <v>0</v>
      </c>
    </row>
    <row r="120" spans="1:15" x14ac:dyDescent="0.2">
      <c r="A120" s="21"/>
      <c r="B120" s="22"/>
      <c r="C120" s="23"/>
      <c r="D120" s="24"/>
      <c r="E120" s="25"/>
      <c r="F120" s="25"/>
      <c r="G120" s="37"/>
      <c r="H120" s="37"/>
      <c r="I120" s="37"/>
      <c r="J120" s="37"/>
      <c r="K1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3">
        <f t="shared" si="2"/>
        <v>0</v>
      </c>
    </row>
    <row r="121" spans="1:15" x14ac:dyDescent="0.2">
      <c r="A121" s="21"/>
      <c r="B121" s="22"/>
      <c r="C121" s="23"/>
      <c r="D121" s="24"/>
      <c r="E121" s="25"/>
      <c r="F121" s="25"/>
      <c r="G121" s="37"/>
      <c r="H121" s="37"/>
      <c r="I121" s="37"/>
      <c r="J121" s="37"/>
      <c r="K1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3">
        <f t="shared" si="2"/>
        <v>0</v>
      </c>
    </row>
    <row r="122" spans="1:15" x14ac:dyDescent="0.2">
      <c r="A122" s="21"/>
      <c r="B122" s="22"/>
      <c r="C122" s="23"/>
      <c r="D122" s="24"/>
      <c r="E122" s="25"/>
      <c r="F122" s="25"/>
      <c r="G122" s="37"/>
      <c r="H122" s="37"/>
      <c r="I122" s="37"/>
      <c r="J122" s="37"/>
      <c r="K1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3">
        <f t="shared" si="2"/>
        <v>0</v>
      </c>
    </row>
    <row r="123" spans="1:15" x14ac:dyDescent="0.2">
      <c r="A123" s="21"/>
      <c r="B123" s="22"/>
      <c r="C123" s="23"/>
      <c r="D123" s="24"/>
      <c r="E123" s="25"/>
      <c r="F123" s="25"/>
      <c r="G123" s="37"/>
      <c r="H123" s="37"/>
      <c r="I123" s="37"/>
      <c r="J123" s="37"/>
      <c r="K1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3">
        <f t="shared" si="2"/>
        <v>0</v>
      </c>
    </row>
    <row r="124" spans="1:15" x14ac:dyDescent="0.2">
      <c r="A124" s="21"/>
      <c r="B124" s="22"/>
      <c r="C124" s="23"/>
      <c r="D124" s="24"/>
      <c r="E124" s="25"/>
      <c r="F124" s="25"/>
      <c r="G124" s="37"/>
      <c r="H124" s="37"/>
      <c r="I124" s="37"/>
      <c r="J124" s="37"/>
      <c r="K1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3">
        <f t="shared" si="2"/>
        <v>0</v>
      </c>
    </row>
    <row r="125" spans="1:15" x14ac:dyDescent="0.2">
      <c r="A125" s="21"/>
      <c r="B125" s="22"/>
      <c r="C125" s="23"/>
      <c r="D125" s="24"/>
      <c r="E125" s="25"/>
      <c r="F125" s="25"/>
      <c r="G125" s="37"/>
      <c r="H125" s="37"/>
      <c r="I125" s="37"/>
      <c r="J125" s="37"/>
      <c r="K1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3">
        <f t="shared" si="2"/>
        <v>0</v>
      </c>
    </row>
    <row r="126" spans="1:15" x14ac:dyDescent="0.2">
      <c r="A126" s="21"/>
      <c r="B126" s="22"/>
      <c r="C126" s="23"/>
      <c r="D126" s="24"/>
      <c r="E126" s="25"/>
      <c r="F126" s="25"/>
      <c r="G126" s="37"/>
      <c r="H126" s="37"/>
      <c r="I126" s="37"/>
      <c r="J126" s="37"/>
      <c r="K1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3">
        <f t="shared" si="2"/>
        <v>0</v>
      </c>
    </row>
    <row r="127" spans="1:15" x14ac:dyDescent="0.2">
      <c r="A127" s="21"/>
      <c r="B127" s="22"/>
      <c r="C127" s="23"/>
      <c r="D127" s="24"/>
      <c r="E127" s="25"/>
      <c r="F127" s="25"/>
      <c r="G127" s="37"/>
      <c r="H127" s="37"/>
      <c r="I127" s="37"/>
      <c r="J127" s="37"/>
      <c r="K1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3">
        <f t="shared" si="2"/>
        <v>0</v>
      </c>
    </row>
    <row r="128" spans="1:15" x14ac:dyDescent="0.2">
      <c r="A128" s="21"/>
      <c r="B128" s="22"/>
      <c r="C128" s="23"/>
      <c r="D128" s="24"/>
      <c r="E128" s="25"/>
      <c r="F128" s="25"/>
      <c r="G128" s="37"/>
      <c r="H128" s="37"/>
      <c r="I128" s="37"/>
      <c r="J128" s="37"/>
      <c r="K1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3">
        <f t="shared" si="2"/>
        <v>0</v>
      </c>
    </row>
    <row r="129" spans="1:15" x14ac:dyDescent="0.2">
      <c r="A129" s="21"/>
      <c r="B129" s="22"/>
      <c r="C129" s="23"/>
      <c r="D129" s="24"/>
      <c r="E129" s="25"/>
      <c r="F129" s="25"/>
      <c r="G129" s="37"/>
      <c r="H129" s="37"/>
      <c r="I129" s="37"/>
      <c r="J129" s="37"/>
      <c r="K1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3">
        <f t="shared" si="2"/>
        <v>0</v>
      </c>
    </row>
    <row r="130" spans="1:15" x14ac:dyDescent="0.2">
      <c r="A130" s="21"/>
      <c r="B130" s="22"/>
      <c r="C130" s="23"/>
      <c r="D130" s="24"/>
      <c r="E130" s="25"/>
      <c r="F130" s="25"/>
      <c r="G130" s="37"/>
      <c r="H130" s="37"/>
      <c r="I130" s="37"/>
      <c r="J130" s="37"/>
      <c r="K1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3">
        <f t="shared" si="2"/>
        <v>0</v>
      </c>
    </row>
    <row r="131" spans="1:15" x14ac:dyDescent="0.2">
      <c r="A131" s="21"/>
      <c r="B131" s="22"/>
      <c r="C131" s="23"/>
      <c r="D131" s="24"/>
      <c r="E131" s="25"/>
      <c r="F131" s="25"/>
      <c r="G131" s="37"/>
      <c r="H131" s="37"/>
      <c r="I131" s="37"/>
      <c r="J131" s="37"/>
      <c r="K1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3">
        <f t="shared" si="2"/>
        <v>0</v>
      </c>
    </row>
    <row r="132" spans="1:15" x14ac:dyDescent="0.2">
      <c r="A132" s="21"/>
      <c r="B132" s="22"/>
      <c r="C132" s="23"/>
      <c r="D132" s="24"/>
      <c r="E132" s="25"/>
      <c r="F132" s="25"/>
      <c r="G132" s="37"/>
      <c r="H132" s="37"/>
      <c r="I132" s="37"/>
      <c r="J132" s="37"/>
      <c r="K1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3">
        <f t="shared" si="2"/>
        <v>0</v>
      </c>
    </row>
    <row r="133" spans="1:15" x14ac:dyDescent="0.2">
      <c r="A133" s="21"/>
      <c r="B133" s="22"/>
      <c r="C133" s="23"/>
      <c r="D133" s="24"/>
      <c r="E133" s="25"/>
      <c r="F133" s="25"/>
      <c r="G133" s="37"/>
      <c r="H133" s="37"/>
      <c r="I133" s="37"/>
      <c r="J133" s="37"/>
      <c r="K1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3">
        <f t="shared" si="2"/>
        <v>0</v>
      </c>
    </row>
    <row r="134" spans="1:15" x14ac:dyDescent="0.2">
      <c r="A134" s="21"/>
      <c r="B134" s="22"/>
      <c r="C134" s="23"/>
      <c r="D134" s="24"/>
      <c r="E134" s="25"/>
      <c r="F134" s="25"/>
      <c r="G134" s="37"/>
      <c r="H134" s="37"/>
      <c r="I134" s="37"/>
      <c r="J134" s="37"/>
      <c r="K1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3">
        <f t="shared" si="2"/>
        <v>0</v>
      </c>
    </row>
    <row r="135" spans="1:15" x14ac:dyDescent="0.2">
      <c r="A135" s="21"/>
      <c r="B135" s="22"/>
      <c r="C135" s="23"/>
      <c r="D135" s="24"/>
      <c r="E135" s="25"/>
      <c r="F135" s="25"/>
      <c r="G135" s="37"/>
      <c r="H135" s="37"/>
      <c r="I135" s="37"/>
      <c r="J135" s="37"/>
      <c r="K1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3">
        <f t="shared" si="2"/>
        <v>0</v>
      </c>
    </row>
    <row r="136" spans="1:15" x14ac:dyDescent="0.2">
      <c r="A136" s="21"/>
      <c r="B136" s="22"/>
      <c r="C136" s="23"/>
      <c r="D136" s="24"/>
      <c r="E136" s="25"/>
      <c r="F136" s="25"/>
      <c r="G136" s="37"/>
      <c r="H136" s="37"/>
      <c r="I136" s="37"/>
      <c r="J136" s="37"/>
      <c r="K1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3">
        <f t="shared" si="2"/>
        <v>0</v>
      </c>
    </row>
    <row r="137" spans="1:15" x14ac:dyDescent="0.2">
      <c r="A137" s="21"/>
      <c r="B137" s="22"/>
      <c r="C137" s="23"/>
      <c r="D137" s="24"/>
      <c r="E137" s="25"/>
      <c r="F137" s="25"/>
      <c r="G137" s="37"/>
      <c r="H137" s="37"/>
      <c r="I137" s="37"/>
      <c r="J137" s="37"/>
      <c r="K1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3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7"/>
      <c r="H138" s="37"/>
      <c r="I138" s="37"/>
      <c r="J138" s="37"/>
      <c r="K1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3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7"/>
      <c r="H139" s="37"/>
      <c r="I139" s="37"/>
      <c r="J139" s="37"/>
      <c r="K1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3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7"/>
      <c r="H140" s="37"/>
      <c r="I140" s="37"/>
      <c r="J140" s="37"/>
      <c r="K1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3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7"/>
      <c r="H141" s="37"/>
      <c r="I141" s="37"/>
      <c r="J141" s="37"/>
      <c r="K1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3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7"/>
      <c r="H142" s="37"/>
      <c r="I142" s="37"/>
      <c r="J142" s="37"/>
      <c r="K1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3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7"/>
      <c r="H143" s="37"/>
      <c r="I143" s="37"/>
      <c r="J143" s="37"/>
      <c r="K1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3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7"/>
      <c r="H144" s="37"/>
      <c r="I144" s="37"/>
      <c r="J144" s="37"/>
      <c r="K1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3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7"/>
      <c r="H145" s="37"/>
      <c r="I145" s="37"/>
      <c r="J145" s="37"/>
      <c r="K1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3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7"/>
      <c r="H146" s="37"/>
      <c r="I146" s="37"/>
      <c r="J146" s="37"/>
      <c r="K1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3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7"/>
      <c r="H147" s="37"/>
      <c r="I147" s="37"/>
      <c r="J147" s="37"/>
      <c r="K1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3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7"/>
      <c r="H148" s="37"/>
      <c r="I148" s="37"/>
      <c r="J148" s="37"/>
      <c r="K1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3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7"/>
      <c r="H149" s="37"/>
      <c r="I149" s="37"/>
      <c r="J149" s="37"/>
      <c r="K1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3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7"/>
      <c r="H150" s="37"/>
      <c r="I150" s="37"/>
      <c r="J150" s="37"/>
      <c r="K1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3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7"/>
      <c r="H151" s="37"/>
      <c r="I151" s="37"/>
      <c r="J151" s="37"/>
      <c r="K1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3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7"/>
      <c r="H152" s="37"/>
      <c r="I152" s="37"/>
      <c r="J152" s="37"/>
      <c r="K1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3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7"/>
      <c r="H153" s="37"/>
      <c r="I153" s="37"/>
      <c r="J153" s="37"/>
      <c r="K1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3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7"/>
      <c r="H154" s="37"/>
      <c r="I154" s="37"/>
      <c r="J154" s="37"/>
      <c r="K1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3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7"/>
      <c r="H155" s="37"/>
      <c r="I155" s="37"/>
      <c r="J155" s="37"/>
      <c r="K1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3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7"/>
      <c r="H156" s="37"/>
      <c r="I156" s="37"/>
      <c r="J156" s="37"/>
      <c r="K1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3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7"/>
      <c r="H157" s="37"/>
      <c r="I157" s="37"/>
      <c r="J157" s="37"/>
      <c r="K1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3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7"/>
      <c r="H158" s="37"/>
      <c r="I158" s="37"/>
      <c r="J158" s="37"/>
      <c r="K1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3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7"/>
      <c r="H159" s="37"/>
      <c r="I159" s="37"/>
      <c r="J159" s="37"/>
      <c r="K1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3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7"/>
      <c r="H160" s="37"/>
      <c r="I160" s="37"/>
      <c r="J160" s="37"/>
      <c r="K1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3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7"/>
      <c r="H161" s="37"/>
      <c r="I161" s="37"/>
      <c r="J161" s="37"/>
      <c r="K1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3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7"/>
      <c r="H162" s="37"/>
      <c r="I162" s="37"/>
      <c r="J162" s="37"/>
      <c r="K1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3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7"/>
      <c r="H163" s="37"/>
      <c r="I163" s="37"/>
      <c r="J163" s="37"/>
      <c r="K1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3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7"/>
      <c r="H164" s="37"/>
      <c r="I164" s="37"/>
      <c r="J164" s="37"/>
      <c r="K1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3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7"/>
      <c r="H165" s="37"/>
      <c r="I165" s="37"/>
      <c r="J165" s="37"/>
      <c r="K1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3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7"/>
      <c r="H166" s="37"/>
      <c r="I166" s="37"/>
      <c r="J166" s="37"/>
      <c r="K1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3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7"/>
      <c r="H167" s="37"/>
      <c r="I167" s="37"/>
      <c r="J167" s="37"/>
      <c r="K1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3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7"/>
      <c r="H168" s="37"/>
      <c r="I168" s="37"/>
      <c r="J168" s="37"/>
      <c r="K1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3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7"/>
      <c r="H169" s="37"/>
      <c r="I169" s="37"/>
      <c r="J169" s="37"/>
      <c r="K1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3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7"/>
      <c r="H170" s="37"/>
      <c r="I170" s="37"/>
      <c r="J170" s="37"/>
      <c r="K1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3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7"/>
      <c r="H171" s="37"/>
      <c r="I171" s="37"/>
      <c r="J171" s="37"/>
      <c r="K1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3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7"/>
      <c r="H172" s="37"/>
      <c r="I172" s="37"/>
      <c r="J172" s="37"/>
      <c r="K1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3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7"/>
      <c r="H173" s="37"/>
      <c r="I173" s="37"/>
      <c r="J173" s="37"/>
      <c r="K1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3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7"/>
      <c r="H174" s="37"/>
      <c r="I174" s="37"/>
      <c r="J174" s="37"/>
      <c r="K1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3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7"/>
      <c r="H175" s="37"/>
      <c r="I175" s="37"/>
      <c r="J175" s="37"/>
      <c r="K1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3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7"/>
      <c r="H176" s="37"/>
      <c r="I176" s="37"/>
      <c r="J176" s="37"/>
      <c r="K1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3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7"/>
      <c r="H177" s="37"/>
      <c r="I177" s="37"/>
      <c r="J177" s="37"/>
      <c r="K1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3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7"/>
      <c r="H178" s="37"/>
      <c r="I178" s="37"/>
      <c r="J178" s="37"/>
      <c r="K1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3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7"/>
      <c r="H179" s="37"/>
      <c r="I179" s="37"/>
      <c r="J179" s="37"/>
      <c r="K1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3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7"/>
      <c r="H180" s="37"/>
      <c r="I180" s="37"/>
      <c r="J180" s="37"/>
      <c r="K1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3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7"/>
      <c r="H181" s="37"/>
      <c r="I181" s="37"/>
      <c r="J181" s="37"/>
      <c r="K1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3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7"/>
      <c r="H182" s="37"/>
      <c r="I182" s="37"/>
      <c r="J182" s="37"/>
      <c r="K1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3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7"/>
      <c r="H183" s="37"/>
      <c r="I183" s="37"/>
      <c r="J183" s="37"/>
      <c r="K1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3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7"/>
      <c r="H184" s="37"/>
      <c r="I184" s="37"/>
      <c r="J184" s="37"/>
      <c r="K1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3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7"/>
      <c r="H185" s="37"/>
      <c r="I185" s="37"/>
      <c r="J185" s="37"/>
      <c r="K1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3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7"/>
      <c r="H186" s="37"/>
      <c r="I186" s="37"/>
      <c r="J186" s="37"/>
      <c r="K1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3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7"/>
      <c r="H187" s="37"/>
      <c r="I187" s="37"/>
      <c r="J187" s="37"/>
      <c r="K1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3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7"/>
      <c r="H188" s="37"/>
      <c r="I188" s="37"/>
      <c r="J188" s="37"/>
      <c r="K1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3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7"/>
      <c r="H189" s="37"/>
      <c r="I189" s="37"/>
      <c r="J189" s="37"/>
      <c r="K1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3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7"/>
      <c r="H190" s="37"/>
      <c r="I190" s="37"/>
      <c r="J190" s="37"/>
      <c r="K1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3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7"/>
      <c r="H191" s="37"/>
      <c r="I191" s="37"/>
      <c r="J191" s="37"/>
      <c r="K1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3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7"/>
      <c r="H192" s="37"/>
      <c r="I192" s="37"/>
      <c r="J192" s="37"/>
      <c r="K1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3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7"/>
      <c r="H193" s="37"/>
      <c r="I193" s="37"/>
      <c r="J193" s="37"/>
      <c r="K1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3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7"/>
      <c r="H194" s="37"/>
      <c r="I194" s="37"/>
      <c r="J194" s="37"/>
      <c r="K1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3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7"/>
      <c r="H195" s="37"/>
      <c r="I195" s="37"/>
      <c r="J195" s="37"/>
      <c r="K1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3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7"/>
      <c r="H196" s="37"/>
      <c r="I196" s="37"/>
      <c r="J196" s="37"/>
      <c r="K1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3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7"/>
      <c r="H197" s="37"/>
      <c r="I197" s="37"/>
      <c r="J197" s="37"/>
      <c r="K1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3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7"/>
      <c r="H198" s="37"/>
      <c r="I198" s="37"/>
      <c r="J198" s="37"/>
      <c r="K1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3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7"/>
      <c r="H199" s="37"/>
      <c r="I199" s="37"/>
      <c r="J199" s="37"/>
      <c r="K1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3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7"/>
      <c r="H200" s="37"/>
      <c r="I200" s="37"/>
      <c r="J200" s="37"/>
      <c r="K2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3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7"/>
      <c r="H201" s="37"/>
      <c r="I201" s="37"/>
      <c r="J201" s="37"/>
      <c r="K2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3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7"/>
      <c r="H202" s="37"/>
      <c r="I202" s="37"/>
      <c r="J202" s="37"/>
      <c r="K2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3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7"/>
      <c r="H203" s="37"/>
      <c r="I203" s="37"/>
      <c r="J203" s="37"/>
      <c r="K2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3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7"/>
      <c r="H204" s="37"/>
      <c r="I204" s="37"/>
      <c r="J204" s="37"/>
      <c r="K2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3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7"/>
      <c r="H205" s="37"/>
      <c r="I205" s="37"/>
      <c r="J205" s="37"/>
      <c r="K2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3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7"/>
      <c r="H206" s="37"/>
      <c r="I206" s="37"/>
      <c r="J206" s="37"/>
      <c r="K2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3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7"/>
      <c r="H207" s="37"/>
      <c r="I207" s="37"/>
      <c r="J207" s="37"/>
      <c r="K2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3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7"/>
      <c r="H208" s="37"/>
      <c r="I208" s="37"/>
      <c r="J208" s="37"/>
      <c r="K2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3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7"/>
      <c r="H209" s="37"/>
      <c r="I209" s="37"/>
      <c r="J209" s="37"/>
      <c r="K2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3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7"/>
      <c r="H210" s="37"/>
      <c r="I210" s="37"/>
      <c r="J210" s="37"/>
      <c r="K2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3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7"/>
      <c r="H211" s="37"/>
      <c r="I211" s="37"/>
      <c r="J211" s="37"/>
      <c r="K2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3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7"/>
      <c r="H212" s="37"/>
      <c r="I212" s="37"/>
      <c r="J212" s="37"/>
      <c r="K2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3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7"/>
      <c r="H213" s="37"/>
      <c r="I213" s="37"/>
      <c r="J213" s="37"/>
      <c r="K2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3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7"/>
      <c r="H214" s="37"/>
      <c r="I214" s="37"/>
      <c r="J214" s="37"/>
      <c r="K2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3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7"/>
      <c r="H215" s="37"/>
      <c r="I215" s="37"/>
      <c r="J215" s="37"/>
      <c r="K2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3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7"/>
      <c r="H216" s="37"/>
      <c r="I216" s="37"/>
      <c r="J216" s="37"/>
      <c r="K2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3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7"/>
      <c r="H217" s="37"/>
      <c r="I217" s="37"/>
      <c r="J217" s="37"/>
      <c r="K2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3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7"/>
      <c r="H218" s="37"/>
      <c r="I218" s="37"/>
      <c r="J218" s="37"/>
      <c r="K2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3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7"/>
      <c r="H219" s="37"/>
      <c r="I219" s="37"/>
      <c r="J219" s="37"/>
      <c r="K2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3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7"/>
      <c r="H220" s="37"/>
      <c r="I220" s="37"/>
      <c r="J220" s="37"/>
      <c r="K2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3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7"/>
      <c r="H221" s="37"/>
      <c r="I221" s="37"/>
      <c r="J221" s="37"/>
      <c r="K2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3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7"/>
      <c r="H222" s="37"/>
      <c r="I222" s="37"/>
      <c r="J222" s="37"/>
      <c r="K2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3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7"/>
      <c r="H223" s="37"/>
      <c r="I223" s="37"/>
      <c r="J223" s="37"/>
      <c r="K2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3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7"/>
      <c r="H224" s="37"/>
      <c r="I224" s="37"/>
      <c r="J224" s="37"/>
      <c r="K2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3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7"/>
      <c r="H225" s="37"/>
      <c r="I225" s="37"/>
      <c r="J225" s="37"/>
      <c r="K2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3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7"/>
      <c r="H226" s="37"/>
      <c r="I226" s="37"/>
      <c r="J226" s="37"/>
      <c r="K2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3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7"/>
      <c r="H227" s="37"/>
      <c r="I227" s="37"/>
      <c r="J227" s="37"/>
      <c r="K2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3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7"/>
      <c r="H228" s="37"/>
      <c r="I228" s="37"/>
      <c r="J228" s="37"/>
      <c r="K2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3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7"/>
      <c r="H229" s="37"/>
      <c r="I229" s="37"/>
      <c r="J229" s="37"/>
      <c r="K2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3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7"/>
      <c r="H230" s="37"/>
      <c r="I230" s="37"/>
      <c r="J230" s="37"/>
      <c r="K2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3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7"/>
      <c r="H231" s="37"/>
      <c r="I231" s="37"/>
      <c r="J231" s="37"/>
      <c r="K2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3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7"/>
      <c r="H232" s="37"/>
      <c r="I232" s="37"/>
      <c r="J232" s="37"/>
      <c r="K2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3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7"/>
      <c r="H233" s="37"/>
      <c r="I233" s="37"/>
      <c r="J233" s="37"/>
      <c r="K2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3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7"/>
      <c r="H234" s="37"/>
      <c r="I234" s="37"/>
      <c r="J234" s="37"/>
      <c r="K2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3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7"/>
      <c r="H235" s="37"/>
      <c r="I235" s="37"/>
      <c r="J235" s="37"/>
      <c r="K2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3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7"/>
      <c r="H236" s="37"/>
      <c r="I236" s="37"/>
      <c r="J236" s="37"/>
      <c r="K2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3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7"/>
      <c r="H237" s="37"/>
      <c r="I237" s="37"/>
      <c r="J237" s="37"/>
      <c r="K2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3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7"/>
      <c r="H238" s="37"/>
      <c r="I238" s="37"/>
      <c r="J238" s="37"/>
      <c r="K2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3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7"/>
      <c r="H239" s="37"/>
      <c r="I239" s="37"/>
      <c r="J239" s="37"/>
      <c r="K2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3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7"/>
      <c r="H240" s="37"/>
      <c r="I240" s="37"/>
      <c r="J240" s="37"/>
      <c r="K2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3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7"/>
      <c r="H241" s="37"/>
      <c r="I241" s="37"/>
      <c r="J241" s="37"/>
      <c r="K2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3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7"/>
      <c r="H242" s="37"/>
      <c r="I242" s="37"/>
      <c r="J242" s="37"/>
      <c r="K2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3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7"/>
      <c r="H243" s="37"/>
      <c r="I243" s="37"/>
      <c r="J243" s="37"/>
      <c r="K2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3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7"/>
      <c r="H244" s="37"/>
      <c r="I244" s="37"/>
      <c r="J244" s="37"/>
      <c r="K2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3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7"/>
      <c r="H245" s="37"/>
      <c r="I245" s="37"/>
      <c r="J245" s="37"/>
      <c r="K2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3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7"/>
      <c r="H246" s="37"/>
      <c r="I246" s="37"/>
      <c r="J246" s="37"/>
      <c r="K2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3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7"/>
      <c r="H247" s="37"/>
      <c r="I247" s="37"/>
      <c r="J247" s="37"/>
      <c r="K2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3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7"/>
      <c r="H248" s="37"/>
      <c r="I248" s="37"/>
      <c r="J248" s="37"/>
      <c r="K2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3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7"/>
      <c r="H249" s="37"/>
      <c r="I249" s="37"/>
      <c r="J249" s="37"/>
      <c r="K2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3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7"/>
      <c r="H250" s="37"/>
      <c r="I250" s="37"/>
      <c r="J250" s="37"/>
      <c r="K2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3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7"/>
      <c r="H251" s="37"/>
      <c r="I251" s="37"/>
      <c r="J251" s="37"/>
      <c r="K2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3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7"/>
      <c r="H252" s="37"/>
      <c r="I252" s="37"/>
      <c r="J252" s="37"/>
      <c r="K2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3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7"/>
      <c r="H253" s="37"/>
      <c r="I253" s="37"/>
      <c r="J253" s="37"/>
      <c r="K2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3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7"/>
      <c r="H254" s="37"/>
      <c r="I254" s="37"/>
      <c r="J254" s="37"/>
      <c r="K2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3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7"/>
      <c r="H255" s="37"/>
      <c r="I255" s="37"/>
      <c r="J255" s="37"/>
      <c r="K2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3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7"/>
      <c r="H256" s="37"/>
      <c r="I256" s="37"/>
      <c r="J256" s="37"/>
      <c r="K2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3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7"/>
      <c r="H257" s="37"/>
      <c r="I257" s="37"/>
      <c r="J257" s="37"/>
      <c r="K2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3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7"/>
      <c r="H258" s="37"/>
      <c r="I258" s="37"/>
      <c r="J258" s="37"/>
      <c r="K2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3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7"/>
      <c r="H259" s="37"/>
      <c r="I259" s="37"/>
      <c r="J259" s="37"/>
      <c r="K2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3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7"/>
      <c r="H260" s="37"/>
      <c r="I260" s="37"/>
      <c r="J260" s="37"/>
      <c r="K2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3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7"/>
      <c r="H261" s="37"/>
      <c r="I261" s="37"/>
      <c r="J261" s="37"/>
      <c r="K2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3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7"/>
      <c r="H262" s="37"/>
      <c r="I262" s="37"/>
      <c r="J262" s="37"/>
      <c r="K2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3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7"/>
      <c r="H263" s="37"/>
      <c r="I263" s="37"/>
      <c r="J263" s="37"/>
      <c r="K2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3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7"/>
      <c r="H264" s="37"/>
      <c r="I264" s="37"/>
      <c r="J264" s="37"/>
      <c r="K2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3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7"/>
      <c r="H265" s="37"/>
      <c r="I265" s="37"/>
      <c r="J265" s="37"/>
      <c r="K2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3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7"/>
      <c r="H266" s="37"/>
      <c r="I266" s="37"/>
      <c r="J266" s="37"/>
      <c r="K2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3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7"/>
      <c r="H267" s="37"/>
      <c r="I267" s="37"/>
      <c r="J267" s="37"/>
      <c r="K2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3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7"/>
      <c r="H268" s="37"/>
      <c r="I268" s="37"/>
      <c r="J268" s="37"/>
      <c r="K2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3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7"/>
      <c r="H269" s="37"/>
      <c r="I269" s="37"/>
      <c r="J269" s="37"/>
      <c r="K2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3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7"/>
      <c r="H270" s="37"/>
      <c r="I270" s="37"/>
      <c r="J270" s="37"/>
      <c r="K2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3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7"/>
      <c r="H271" s="37"/>
      <c r="I271" s="37"/>
      <c r="J271" s="37"/>
      <c r="K2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3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7"/>
      <c r="H272" s="37"/>
      <c r="I272" s="37"/>
      <c r="J272" s="37"/>
      <c r="K2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3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7"/>
      <c r="H273" s="37"/>
      <c r="I273" s="37"/>
      <c r="J273" s="37"/>
      <c r="K2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3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7"/>
      <c r="H274" s="37"/>
      <c r="I274" s="37"/>
      <c r="J274" s="37"/>
      <c r="K2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3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7"/>
      <c r="H275" s="37"/>
      <c r="I275" s="37"/>
      <c r="J275" s="37"/>
      <c r="K2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3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7"/>
      <c r="H276" s="37"/>
      <c r="I276" s="37"/>
      <c r="J276" s="37"/>
      <c r="K2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3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7"/>
      <c r="H277" s="37"/>
      <c r="I277" s="37"/>
      <c r="J277" s="37"/>
      <c r="K2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3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7"/>
      <c r="H278" s="37"/>
      <c r="I278" s="37"/>
      <c r="J278" s="37"/>
      <c r="K2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3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7"/>
      <c r="H279" s="37"/>
      <c r="I279" s="37"/>
      <c r="J279" s="37"/>
      <c r="K2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3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7"/>
      <c r="H280" s="37"/>
      <c r="I280" s="37"/>
      <c r="J280" s="37"/>
      <c r="K2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3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7"/>
      <c r="H281" s="37"/>
      <c r="I281" s="37"/>
      <c r="J281" s="37"/>
      <c r="K2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3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7"/>
      <c r="H282" s="37"/>
      <c r="I282" s="37"/>
      <c r="J282" s="37"/>
      <c r="K2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3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7"/>
      <c r="H283" s="37"/>
      <c r="I283" s="37"/>
      <c r="J283" s="37"/>
      <c r="K2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3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7"/>
      <c r="H284" s="37"/>
      <c r="I284" s="37"/>
      <c r="J284" s="37"/>
      <c r="K2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3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7"/>
      <c r="H285" s="37"/>
      <c r="I285" s="37"/>
      <c r="J285" s="37"/>
      <c r="K2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3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7"/>
      <c r="H286" s="37"/>
      <c r="I286" s="37"/>
      <c r="J286" s="37"/>
      <c r="K2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3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7"/>
      <c r="H287" s="37"/>
      <c r="I287" s="37"/>
      <c r="J287" s="37"/>
      <c r="K2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3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7"/>
      <c r="H288" s="37"/>
      <c r="I288" s="37"/>
      <c r="J288" s="37"/>
      <c r="K2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3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7"/>
      <c r="H289" s="37"/>
      <c r="I289" s="37"/>
      <c r="J289" s="37"/>
      <c r="K2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3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7"/>
      <c r="H290" s="37"/>
      <c r="I290" s="37"/>
      <c r="J290" s="37"/>
      <c r="K2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3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7"/>
      <c r="H291" s="37"/>
      <c r="I291" s="37"/>
      <c r="J291" s="37"/>
      <c r="K2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3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7"/>
      <c r="H292" s="37"/>
      <c r="I292" s="37"/>
      <c r="J292" s="37"/>
      <c r="K2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3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7"/>
      <c r="H293" s="37"/>
      <c r="I293" s="37"/>
      <c r="J293" s="37"/>
      <c r="K2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3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7"/>
      <c r="H294" s="37"/>
      <c r="I294" s="37"/>
      <c r="J294" s="37"/>
      <c r="K2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3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7"/>
      <c r="H295" s="37"/>
      <c r="I295" s="37"/>
      <c r="J295" s="37"/>
      <c r="K2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3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7"/>
      <c r="H296" s="37"/>
      <c r="I296" s="37"/>
      <c r="J296" s="37"/>
      <c r="K2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3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7"/>
      <c r="H297" s="37"/>
      <c r="I297" s="37"/>
      <c r="J297" s="37"/>
      <c r="K2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3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7"/>
      <c r="H298" s="37"/>
      <c r="I298" s="37"/>
      <c r="J298" s="37"/>
      <c r="K2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3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7"/>
      <c r="H299" s="37"/>
      <c r="I299" s="37"/>
      <c r="J299" s="37"/>
      <c r="K2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3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7"/>
      <c r="H300" s="37"/>
      <c r="I300" s="37"/>
      <c r="J300" s="37"/>
      <c r="K3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3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7"/>
      <c r="H301" s="37"/>
      <c r="I301" s="37"/>
      <c r="J301" s="37"/>
      <c r="K3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3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7"/>
      <c r="H302" s="37"/>
      <c r="I302" s="37"/>
      <c r="J302" s="37"/>
      <c r="K3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3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7"/>
      <c r="H303" s="37"/>
      <c r="I303" s="37"/>
      <c r="J303" s="37"/>
      <c r="K3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3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7"/>
      <c r="H304" s="37"/>
      <c r="I304" s="37"/>
      <c r="J304" s="37"/>
      <c r="K3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3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7"/>
      <c r="H305" s="37"/>
      <c r="I305" s="37"/>
      <c r="J305" s="37"/>
      <c r="K3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3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7"/>
      <c r="H306" s="37"/>
      <c r="I306" s="37"/>
      <c r="J306" s="37"/>
      <c r="K3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3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7"/>
      <c r="H307" s="37"/>
      <c r="I307" s="37"/>
      <c r="J307" s="37"/>
      <c r="K3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3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7"/>
      <c r="H308" s="37"/>
      <c r="I308" s="37"/>
      <c r="J308" s="37"/>
      <c r="K3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3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7"/>
      <c r="H309" s="37"/>
      <c r="I309" s="37"/>
      <c r="J309" s="37"/>
      <c r="K3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3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7"/>
      <c r="H310" s="37"/>
      <c r="I310" s="37"/>
      <c r="J310" s="37"/>
      <c r="K3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3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7"/>
      <c r="H311" s="37"/>
      <c r="I311" s="37"/>
      <c r="J311" s="37"/>
      <c r="K3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3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7"/>
      <c r="H312" s="37"/>
      <c r="I312" s="37"/>
      <c r="J312" s="37"/>
      <c r="K3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3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7"/>
      <c r="H313" s="37"/>
      <c r="I313" s="37"/>
      <c r="J313" s="37"/>
      <c r="K3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3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7"/>
      <c r="H314" s="37"/>
      <c r="I314" s="37"/>
      <c r="J314" s="37"/>
      <c r="K3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3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7"/>
      <c r="H315" s="37"/>
      <c r="I315" s="37"/>
      <c r="J315" s="37"/>
      <c r="K3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3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7"/>
      <c r="H316" s="37"/>
      <c r="I316" s="37"/>
      <c r="J316" s="37"/>
      <c r="K3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3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7"/>
      <c r="H317" s="37"/>
      <c r="I317" s="37"/>
      <c r="J317" s="37"/>
      <c r="K3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3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7"/>
      <c r="H318" s="37"/>
      <c r="I318" s="37"/>
      <c r="J318" s="37"/>
      <c r="K3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3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7"/>
      <c r="H319" s="37"/>
      <c r="I319" s="37"/>
      <c r="J319" s="37"/>
      <c r="K3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3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7"/>
      <c r="H320" s="37"/>
      <c r="I320" s="37"/>
      <c r="J320" s="37"/>
      <c r="K3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3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7"/>
      <c r="H321" s="37"/>
      <c r="I321" s="37"/>
      <c r="J321" s="37"/>
      <c r="K3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3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7"/>
      <c r="H322" s="37"/>
      <c r="I322" s="37"/>
      <c r="J322" s="37"/>
      <c r="K3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3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7"/>
      <c r="H323" s="37"/>
      <c r="I323" s="37"/>
      <c r="J323" s="37"/>
      <c r="K3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3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7"/>
      <c r="H324" s="37"/>
      <c r="I324" s="37"/>
      <c r="J324" s="37"/>
      <c r="K3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3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7"/>
      <c r="H325" s="37"/>
      <c r="I325" s="37"/>
      <c r="J325" s="37"/>
      <c r="K3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3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7"/>
      <c r="H326" s="37"/>
      <c r="I326" s="37"/>
      <c r="J326" s="37"/>
      <c r="K3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3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7"/>
      <c r="H327" s="37"/>
      <c r="I327" s="37"/>
      <c r="J327" s="37"/>
      <c r="K3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3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7"/>
      <c r="H328" s="37"/>
      <c r="I328" s="37"/>
      <c r="J328" s="37"/>
      <c r="K3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3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7"/>
      <c r="H329" s="37"/>
      <c r="I329" s="37"/>
      <c r="J329" s="37"/>
      <c r="K3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3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7"/>
      <c r="H330" s="37"/>
      <c r="I330" s="37"/>
      <c r="J330" s="37"/>
      <c r="K3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3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7"/>
      <c r="H331" s="37"/>
      <c r="I331" s="37"/>
      <c r="J331" s="37"/>
      <c r="K3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3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7"/>
      <c r="H332" s="37"/>
      <c r="I332" s="37"/>
      <c r="J332" s="37"/>
      <c r="K3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3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7"/>
      <c r="H333" s="37"/>
      <c r="I333" s="37"/>
      <c r="J333" s="37"/>
      <c r="K3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3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7"/>
      <c r="H334" s="37"/>
      <c r="I334" s="37"/>
      <c r="J334" s="37"/>
      <c r="K3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3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7"/>
      <c r="H335" s="37"/>
      <c r="I335" s="37"/>
      <c r="J335" s="37"/>
      <c r="K3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3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7"/>
      <c r="H336" s="37"/>
      <c r="I336" s="37"/>
      <c r="J336" s="37"/>
      <c r="K3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3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7"/>
      <c r="H337" s="37"/>
      <c r="I337" s="37"/>
      <c r="J337" s="37"/>
      <c r="K3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3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7"/>
      <c r="H338" s="37"/>
      <c r="I338" s="37"/>
      <c r="J338" s="37"/>
      <c r="K3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3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7"/>
      <c r="H339" s="37"/>
      <c r="I339" s="37"/>
      <c r="J339" s="37"/>
      <c r="K3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3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7"/>
      <c r="H340" s="37"/>
      <c r="I340" s="37"/>
      <c r="J340" s="37"/>
      <c r="K3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3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7"/>
      <c r="H341" s="37"/>
      <c r="I341" s="37"/>
      <c r="J341" s="37"/>
      <c r="K3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3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7"/>
      <c r="H342" s="37"/>
      <c r="I342" s="37"/>
      <c r="J342" s="37"/>
      <c r="K3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3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7"/>
      <c r="H343" s="37"/>
      <c r="I343" s="37"/>
      <c r="J343" s="37"/>
      <c r="K3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3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7"/>
      <c r="H344" s="37"/>
      <c r="I344" s="37"/>
      <c r="J344" s="37"/>
      <c r="K3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3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7"/>
      <c r="H345" s="37"/>
      <c r="I345" s="37"/>
      <c r="J345" s="37"/>
      <c r="K3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3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7"/>
      <c r="H346" s="37"/>
      <c r="I346" s="37"/>
      <c r="J346" s="37"/>
      <c r="K3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3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7"/>
      <c r="H347" s="37"/>
      <c r="I347" s="37"/>
      <c r="J347" s="37"/>
      <c r="K3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3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7"/>
      <c r="H348" s="37"/>
      <c r="I348" s="37"/>
      <c r="J348" s="37"/>
      <c r="K3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3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7"/>
      <c r="H349" s="37"/>
      <c r="I349" s="37"/>
      <c r="J349" s="37"/>
      <c r="K3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3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7"/>
      <c r="H350" s="37"/>
      <c r="I350" s="37"/>
      <c r="J350" s="37"/>
      <c r="K3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3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7"/>
      <c r="H351" s="37"/>
      <c r="I351" s="37"/>
      <c r="J351" s="37"/>
      <c r="K3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3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7"/>
      <c r="H352" s="37"/>
      <c r="I352" s="37"/>
      <c r="J352" s="37"/>
      <c r="K3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3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7"/>
      <c r="H353" s="37"/>
      <c r="I353" s="37"/>
      <c r="J353" s="37"/>
      <c r="K3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3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7"/>
      <c r="H354" s="37"/>
      <c r="I354" s="37"/>
      <c r="J354" s="37"/>
      <c r="K3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3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7"/>
      <c r="H355" s="37"/>
      <c r="I355" s="37"/>
      <c r="J355" s="37"/>
      <c r="K3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3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7"/>
      <c r="H356" s="37"/>
      <c r="I356" s="37"/>
      <c r="J356" s="37"/>
      <c r="K3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3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7"/>
      <c r="H357" s="37"/>
      <c r="I357" s="37"/>
      <c r="J357" s="37"/>
      <c r="K3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3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7"/>
      <c r="H358" s="37"/>
      <c r="I358" s="37"/>
      <c r="J358" s="37"/>
      <c r="K3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3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7"/>
      <c r="H359" s="37"/>
      <c r="I359" s="37"/>
      <c r="J359" s="37"/>
      <c r="K3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3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7"/>
      <c r="H360" s="37"/>
      <c r="I360" s="37"/>
      <c r="J360" s="37"/>
      <c r="K3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3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7"/>
      <c r="H361" s="37"/>
      <c r="I361" s="37"/>
      <c r="J361" s="37"/>
      <c r="K3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3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7"/>
      <c r="H362" s="37"/>
      <c r="I362" s="37"/>
      <c r="J362" s="37"/>
      <c r="K3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3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7"/>
      <c r="H363" s="37"/>
      <c r="I363" s="37"/>
      <c r="J363" s="37"/>
      <c r="K3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3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7"/>
      <c r="H364" s="37"/>
      <c r="I364" s="37"/>
      <c r="J364" s="37"/>
      <c r="K3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3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7"/>
      <c r="H365" s="37"/>
      <c r="I365" s="37"/>
      <c r="J365" s="37"/>
      <c r="K3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3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7"/>
      <c r="H366" s="37"/>
      <c r="I366" s="37"/>
      <c r="J366" s="37"/>
      <c r="K3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3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7"/>
      <c r="H367" s="37"/>
      <c r="I367" s="37"/>
      <c r="J367" s="37"/>
      <c r="K3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3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7"/>
      <c r="H368" s="37"/>
      <c r="I368" s="37"/>
      <c r="J368" s="37"/>
      <c r="K3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3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7"/>
      <c r="H369" s="37"/>
      <c r="I369" s="37"/>
      <c r="J369" s="37"/>
      <c r="K3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3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7"/>
      <c r="H370" s="37"/>
      <c r="I370" s="37"/>
      <c r="J370" s="37"/>
      <c r="K3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3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7"/>
      <c r="H371" s="37"/>
      <c r="I371" s="37"/>
      <c r="J371" s="37"/>
      <c r="K3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3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7"/>
      <c r="H372" s="37"/>
      <c r="I372" s="37"/>
      <c r="J372" s="37"/>
      <c r="K3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3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7"/>
      <c r="H373" s="37"/>
      <c r="I373" s="37"/>
      <c r="J373" s="37"/>
      <c r="K3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3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7"/>
      <c r="H374" s="37"/>
      <c r="I374" s="37"/>
      <c r="J374" s="37"/>
      <c r="K3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3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7"/>
      <c r="H375" s="37"/>
      <c r="I375" s="37"/>
      <c r="J375" s="37"/>
      <c r="K3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3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7"/>
      <c r="H376" s="37"/>
      <c r="I376" s="37"/>
      <c r="J376" s="37"/>
      <c r="K3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3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7"/>
      <c r="H377" s="37"/>
      <c r="I377" s="37"/>
      <c r="J377" s="37"/>
      <c r="K3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3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7"/>
      <c r="H378" s="37"/>
      <c r="I378" s="37"/>
      <c r="J378" s="37"/>
      <c r="K3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3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7"/>
      <c r="H379" s="37"/>
      <c r="I379" s="37"/>
      <c r="J379" s="37"/>
      <c r="K3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3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7"/>
      <c r="H380" s="37"/>
      <c r="I380" s="37"/>
      <c r="J380" s="37"/>
      <c r="K3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3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7"/>
      <c r="H381" s="37"/>
      <c r="I381" s="37"/>
      <c r="J381" s="37"/>
      <c r="K3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3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7"/>
      <c r="H382" s="37"/>
      <c r="I382" s="37"/>
      <c r="J382" s="37"/>
      <c r="K3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3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7"/>
      <c r="H383" s="37"/>
      <c r="I383" s="37"/>
      <c r="J383" s="37"/>
      <c r="K3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3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7"/>
      <c r="H384" s="37"/>
      <c r="I384" s="37"/>
      <c r="J384" s="37"/>
      <c r="K3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3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7"/>
      <c r="H385" s="37"/>
      <c r="I385" s="37"/>
      <c r="J385" s="37"/>
      <c r="K3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3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7"/>
      <c r="H386" s="37"/>
      <c r="I386" s="37"/>
      <c r="J386" s="37"/>
      <c r="K3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3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7"/>
      <c r="H387" s="37"/>
      <c r="I387" s="37"/>
      <c r="J387" s="37"/>
      <c r="K3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3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7"/>
      <c r="H388" s="37"/>
      <c r="I388" s="37"/>
      <c r="J388" s="37"/>
      <c r="K3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3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7"/>
      <c r="H389" s="37"/>
      <c r="I389" s="37"/>
      <c r="J389" s="37"/>
      <c r="K3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3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7"/>
      <c r="H390" s="37"/>
      <c r="I390" s="37"/>
      <c r="J390" s="37"/>
      <c r="K3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3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7"/>
      <c r="H391" s="37"/>
      <c r="I391" s="37"/>
      <c r="J391" s="37"/>
      <c r="K3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3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7"/>
      <c r="H392" s="37"/>
      <c r="I392" s="37"/>
      <c r="J392" s="37"/>
      <c r="K3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3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7"/>
      <c r="H393" s="37"/>
      <c r="I393" s="37"/>
      <c r="J393" s="37"/>
      <c r="K3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3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7"/>
      <c r="H394" s="37"/>
      <c r="I394" s="37"/>
      <c r="J394" s="37"/>
      <c r="K3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3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7"/>
      <c r="H395" s="37"/>
      <c r="I395" s="37"/>
      <c r="J395" s="37"/>
      <c r="K3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3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7"/>
      <c r="H396" s="37"/>
      <c r="I396" s="37"/>
      <c r="J396" s="37"/>
      <c r="K3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3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7"/>
      <c r="H397" s="37"/>
      <c r="I397" s="37"/>
      <c r="J397" s="37"/>
      <c r="K3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3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7"/>
      <c r="H398" s="37"/>
      <c r="I398" s="37"/>
      <c r="J398" s="37"/>
      <c r="K3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3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7"/>
      <c r="H399" s="37"/>
      <c r="I399" s="37"/>
      <c r="J399" s="37"/>
      <c r="K3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3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7"/>
      <c r="H400" s="37"/>
      <c r="I400" s="37"/>
      <c r="J400" s="37"/>
      <c r="K4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3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7"/>
      <c r="H401" s="37"/>
      <c r="I401" s="37"/>
      <c r="J401" s="37"/>
      <c r="K4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3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7"/>
      <c r="H402" s="37"/>
      <c r="I402" s="37"/>
      <c r="J402" s="37"/>
      <c r="K4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3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7"/>
      <c r="H403" s="37"/>
      <c r="I403" s="37"/>
      <c r="J403" s="37"/>
      <c r="K4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3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7"/>
      <c r="H404" s="37"/>
      <c r="I404" s="37"/>
      <c r="J404" s="37"/>
      <c r="K4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3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7"/>
      <c r="H405" s="37"/>
      <c r="I405" s="37"/>
      <c r="J405" s="37"/>
      <c r="K4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3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7"/>
      <c r="H406" s="37"/>
      <c r="I406" s="37"/>
      <c r="J406" s="37"/>
      <c r="K4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3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7"/>
      <c r="H407" s="37"/>
      <c r="I407" s="37"/>
      <c r="J407" s="37"/>
      <c r="K4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3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7"/>
      <c r="H408" s="37"/>
      <c r="I408" s="37"/>
      <c r="J408" s="37"/>
      <c r="K4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3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7"/>
      <c r="H409" s="37"/>
      <c r="I409" s="37"/>
      <c r="J409" s="37"/>
      <c r="K4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3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7"/>
      <c r="H410" s="37"/>
      <c r="I410" s="37"/>
      <c r="J410" s="37"/>
      <c r="K4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3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7"/>
      <c r="H411" s="37"/>
      <c r="I411" s="37"/>
      <c r="J411" s="37"/>
      <c r="K4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3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7"/>
      <c r="H412" s="37"/>
      <c r="I412" s="37"/>
      <c r="J412" s="37"/>
      <c r="K4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3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7"/>
      <c r="H413" s="37"/>
      <c r="I413" s="37"/>
      <c r="J413" s="37"/>
      <c r="K4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3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7"/>
      <c r="H414" s="37"/>
      <c r="I414" s="37"/>
      <c r="J414" s="37"/>
      <c r="K4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3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7"/>
      <c r="H415" s="37"/>
      <c r="I415" s="37"/>
      <c r="J415" s="37"/>
      <c r="K4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3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7"/>
      <c r="H416" s="37"/>
      <c r="I416" s="37"/>
      <c r="J416" s="37"/>
      <c r="K4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3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7"/>
      <c r="H417" s="37"/>
      <c r="I417" s="37"/>
      <c r="J417" s="37"/>
      <c r="K4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3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7"/>
      <c r="H418" s="37"/>
      <c r="I418" s="37"/>
      <c r="J418" s="37"/>
      <c r="K4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3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7"/>
      <c r="H419" s="37"/>
      <c r="I419" s="37"/>
      <c r="J419" s="37"/>
      <c r="K4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3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7"/>
      <c r="H420" s="37"/>
      <c r="I420" s="37"/>
      <c r="J420" s="37"/>
      <c r="K4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3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7"/>
      <c r="H421" s="37"/>
      <c r="I421" s="37"/>
      <c r="J421" s="37"/>
      <c r="K4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3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7"/>
      <c r="H422" s="37"/>
      <c r="I422" s="37"/>
      <c r="J422" s="37"/>
      <c r="K4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3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7"/>
      <c r="H423" s="37"/>
      <c r="I423" s="37"/>
      <c r="J423" s="37"/>
      <c r="K4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3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7"/>
      <c r="H424" s="37"/>
      <c r="I424" s="37"/>
      <c r="J424" s="37"/>
      <c r="K4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3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7"/>
      <c r="H425" s="37"/>
      <c r="I425" s="37"/>
      <c r="J425" s="37"/>
      <c r="K4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3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7"/>
      <c r="H426" s="37"/>
      <c r="I426" s="37"/>
      <c r="J426" s="37"/>
      <c r="K4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3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7"/>
      <c r="H427" s="37"/>
      <c r="I427" s="37"/>
      <c r="J427" s="37"/>
      <c r="K4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3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7"/>
      <c r="H428" s="37"/>
      <c r="I428" s="37"/>
      <c r="J428" s="37"/>
      <c r="K4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3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7"/>
      <c r="H429" s="37"/>
      <c r="I429" s="37"/>
      <c r="J429" s="37"/>
      <c r="K4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3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7"/>
      <c r="H430" s="37"/>
      <c r="I430" s="37"/>
      <c r="J430" s="37"/>
      <c r="K4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3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7"/>
      <c r="H431" s="37"/>
      <c r="I431" s="37"/>
      <c r="J431" s="37"/>
      <c r="K4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3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7"/>
      <c r="H432" s="37"/>
      <c r="I432" s="37"/>
      <c r="J432" s="37"/>
      <c r="K4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3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7"/>
      <c r="H433" s="37"/>
      <c r="I433" s="37"/>
      <c r="J433" s="37"/>
      <c r="K4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3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7"/>
      <c r="H434" s="37"/>
      <c r="I434" s="37"/>
      <c r="J434" s="37"/>
      <c r="K4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3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7"/>
      <c r="H435" s="37"/>
      <c r="I435" s="37"/>
      <c r="J435" s="37"/>
      <c r="K4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3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7"/>
      <c r="H436" s="37"/>
      <c r="I436" s="37"/>
      <c r="J436" s="37"/>
      <c r="K4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3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7"/>
      <c r="H437" s="37"/>
      <c r="I437" s="37"/>
      <c r="J437" s="37"/>
      <c r="K4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3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7"/>
      <c r="H438" s="37"/>
      <c r="I438" s="37"/>
      <c r="J438" s="37"/>
      <c r="K4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3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7"/>
      <c r="H439" s="37"/>
      <c r="I439" s="37"/>
      <c r="J439" s="37"/>
      <c r="K4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3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7"/>
      <c r="H440" s="37"/>
      <c r="I440" s="37"/>
      <c r="J440" s="37"/>
      <c r="K4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3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7"/>
      <c r="H441" s="37"/>
      <c r="I441" s="37"/>
      <c r="J441" s="37"/>
      <c r="K4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3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7"/>
      <c r="H442" s="37"/>
      <c r="I442" s="37"/>
      <c r="J442" s="37"/>
      <c r="K4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3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7"/>
      <c r="H443" s="37"/>
      <c r="I443" s="37"/>
      <c r="J443" s="37"/>
      <c r="K4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3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7"/>
      <c r="H444" s="37"/>
      <c r="I444" s="37"/>
      <c r="J444" s="37"/>
      <c r="K4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3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7"/>
      <c r="H445" s="37"/>
      <c r="I445" s="37"/>
      <c r="J445" s="37"/>
      <c r="K4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3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7"/>
      <c r="H446" s="37"/>
      <c r="I446" s="37"/>
      <c r="J446" s="37"/>
      <c r="K4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3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7"/>
      <c r="H447" s="37"/>
      <c r="I447" s="37"/>
      <c r="J447" s="37"/>
      <c r="K4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3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7"/>
      <c r="H448" s="37"/>
      <c r="I448" s="37"/>
      <c r="J448" s="37"/>
      <c r="K4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3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7"/>
      <c r="H449" s="37"/>
      <c r="I449" s="37"/>
      <c r="J449" s="37"/>
      <c r="K4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3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7"/>
      <c r="H450" s="37"/>
      <c r="I450" s="37"/>
      <c r="J450" s="37"/>
      <c r="K4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3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7"/>
      <c r="H451" s="37"/>
      <c r="I451" s="37"/>
      <c r="J451" s="37"/>
      <c r="K4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3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7"/>
      <c r="H452" s="37"/>
      <c r="I452" s="37"/>
      <c r="J452" s="37"/>
      <c r="K4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3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7"/>
      <c r="H453" s="37"/>
      <c r="I453" s="37"/>
      <c r="J453" s="37"/>
      <c r="K4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3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7"/>
      <c r="H454" s="37"/>
      <c r="I454" s="37"/>
      <c r="J454" s="37"/>
      <c r="K4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3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7"/>
      <c r="H455" s="37"/>
      <c r="I455" s="37"/>
      <c r="J455" s="37"/>
      <c r="K4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3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7"/>
      <c r="H456" s="37"/>
      <c r="I456" s="37"/>
      <c r="J456" s="37"/>
      <c r="K4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3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7"/>
      <c r="H457" s="37"/>
      <c r="I457" s="37"/>
      <c r="J457" s="37"/>
      <c r="K4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3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7"/>
      <c r="H458" s="37"/>
      <c r="I458" s="37"/>
      <c r="J458" s="37"/>
      <c r="K4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3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7"/>
      <c r="H459" s="37"/>
      <c r="I459" s="37"/>
      <c r="J459" s="37"/>
      <c r="K4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3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7"/>
      <c r="H460" s="37"/>
      <c r="I460" s="37"/>
      <c r="J460" s="37"/>
      <c r="K4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3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7"/>
      <c r="H461" s="37"/>
      <c r="I461" s="37"/>
      <c r="J461" s="37"/>
      <c r="K4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3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7"/>
      <c r="H462" s="37"/>
      <c r="I462" s="37"/>
      <c r="J462" s="37"/>
      <c r="K4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3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7"/>
      <c r="H463" s="37"/>
      <c r="I463" s="37"/>
      <c r="J463" s="37"/>
      <c r="K4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3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7"/>
      <c r="H464" s="37"/>
      <c r="I464" s="37"/>
      <c r="J464" s="37"/>
      <c r="K4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3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7"/>
      <c r="H465" s="37"/>
      <c r="I465" s="37"/>
      <c r="J465" s="37"/>
      <c r="K4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3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7"/>
      <c r="H466" s="37"/>
      <c r="I466" s="37"/>
      <c r="J466" s="37"/>
      <c r="K4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3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7"/>
      <c r="H467" s="37"/>
      <c r="I467" s="37"/>
      <c r="J467" s="37"/>
      <c r="K4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3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7"/>
      <c r="H468" s="37"/>
      <c r="I468" s="37"/>
      <c r="J468" s="37"/>
      <c r="K4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3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7"/>
      <c r="H469" s="37"/>
      <c r="I469" s="37"/>
      <c r="J469" s="37"/>
      <c r="K4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3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7"/>
      <c r="H470" s="37"/>
      <c r="I470" s="37"/>
      <c r="J470" s="37"/>
      <c r="K4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3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7"/>
      <c r="H471" s="37"/>
      <c r="I471" s="37"/>
      <c r="J471" s="37"/>
      <c r="K4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3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7"/>
      <c r="H472" s="37"/>
      <c r="I472" s="37"/>
      <c r="J472" s="37"/>
      <c r="K4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3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7"/>
      <c r="H473" s="37"/>
      <c r="I473" s="37"/>
      <c r="J473" s="37"/>
      <c r="K4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3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7"/>
      <c r="H474" s="37"/>
      <c r="I474" s="37"/>
      <c r="J474" s="37"/>
      <c r="K4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3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7"/>
      <c r="H475" s="37"/>
      <c r="I475" s="37"/>
      <c r="J475" s="37"/>
      <c r="K4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3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7"/>
      <c r="H476" s="37"/>
      <c r="I476" s="37"/>
      <c r="J476" s="37"/>
      <c r="K4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3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7"/>
      <c r="H477" s="37"/>
      <c r="I477" s="37"/>
      <c r="J477" s="37"/>
      <c r="K4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3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7"/>
      <c r="H478" s="37"/>
      <c r="I478" s="37"/>
      <c r="J478" s="37"/>
      <c r="K4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3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7"/>
      <c r="H479" s="37"/>
      <c r="I479" s="37"/>
      <c r="J479" s="37"/>
      <c r="K4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3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7"/>
      <c r="H480" s="37"/>
      <c r="I480" s="37"/>
      <c r="J480" s="37"/>
      <c r="K4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3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7"/>
      <c r="H481" s="37"/>
      <c r="I481" s="37"/>
      <c r="J481" s="37"/>
      <c r="K4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3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7"/>
      <c r="H482" s="37"/>
      <c r="I482" s="37"/>
      <c r="J482" s="37"/>
      <c r="K4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3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7"/>
      <c r="H483" s="37"/>
      <c r="I483" s="37"/>
      <c r="J483" s="37"/>
      <c r="K4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3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7"/>
      <c r="H484" s="37"/>
      <c r="I484" s="37"/>
      <c r="J484" s="37"/>
      <c r="K4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3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7"/>
      <c r="H485" s="37"/>
      <c r="I485" s="37"/>
      <c r="J485" s="37"/>
      <c r="K4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3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7"/>
      <c r="H486" s="37"/>
      <c r="I486" s="37"/>
      <c r="J486" s="37"/>
      <c r="K4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3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7"/>
      <c r="H487" s="37"/>
      <c r="I487" s="37"/>
      <c r="J487" s="37"/>
      <c r="K4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3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7"/>
      <c r="H488" s="37"/>
      <c r="I488" s="37"/>
      <c r="J488" s="37"/>
      <c r="K4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3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7"/>
      <c r="H489" s="37"/>
      <c r="I489" s="37"/>
      <c r="J489" s="37"/>
      <c r="K4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3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7"/>
      <c r="H490" s="37"/>
      <c r="I490" s="37"/>
      <c r="J490" s="37"/>
      <c r="K4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3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7"/>
      <c r="H491" s="37"/>
      <c r="I491" s="37"/>
      <c r="J491" s="37"/>
      <c r="K4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3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7"/>
      <c r="H492" s="37"/>
      <c r="I492" s="37"/>
      <c r="J492" s="37"/>
      <c r="K4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3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7"/>
      <c r="H493" s="37"/>
      <c r="I493" s="37"/>
      <c r="J493" s="37"/>
      <c r="K4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3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7"/>
      <c r="H494" s="37"/>
      <c r="I494" s="37"/>
      <c r="J494" s="37"/>
      <c r="K4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3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7"/>
      <c r="H495" s="37"/>
      <c r="I495" s="37"/>
      <c r="J495" s="37"/>
      <c r="K4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3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7"/>
      <c r="H496" s="37"/>
      <c r="I496" s="37"/>
      <c r="J496" s="37"/>
      <c r="K4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3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7"/>
      <c r="H497" s="37"/>
      <c r="I497" s="37"/>
      <c r="J497" s="37"/>
      <c r="K4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3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7"/>
      <c r="H498" s="37"/>
      <c r="I498" s="37"/>
      <c r="J498" s="37"/>
      <c r="K4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3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7"/>
      <c r="H499" s="37"/>
      <c r="I499" s="37"/>
      <c r="J499" s="37"/>
      <c r="K4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3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7"/>
      <c r="H500" s="37"/>
      <c r="I500" s="37"/>
      <c r="J500" s="37"/>
      <c r="K5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3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7"/>
      <c r="H501" s="37"/>
      <c r="I501" s="37"/>
      <c r="J501" s="37"/>
      <c r="K5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3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7"/>
      <c r="H502" s="37"/>
      <c r="I502" s="37"/>
      <c r="J502" s="37"/>
      <c r="K5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3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7"/>
      <c r="H503" s="37"/>
      <c r="I503" s="37"/>
      <c r="J503" s="37"/>
      <c r="K5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3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7"/>
      <c r="H504" s="37"/>
      <c r="I504" s="37"/>
      <c r="J504" s="37"/>
      <c r="K5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3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7"/>
      <c r="H505" s="37"/>
      <c r="I505" s="37"/>
      <c r="J505" s="37"/>
      <c r="K5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3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7"/>
      <c r="H506" s="37"/>
      <c r="I506" s="37"/>
      <c r="J506" s="37"/>
      <c r="K5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3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7"/>
      <c r="H507" s="37"/>
      <c r="I507" s="37"/>
      <c r="J507" s="37"/>
      <c r="K5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3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7"/>
      <c r="H508" s="37"/>
      <c r="I508" s="37"/>
      <c r="J508" s="37"/>
      <c r="K5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3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7"/>
      <c r="H509" s="37"/>
      <c r="I509" s="37"/>
      <c r="J509" s="37"/>
      <c r="K5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3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7"/>
      <c r="H510" s="37"/>
      <c r="I510" s="37"/>
      <c r="J510" s="37"/>
      <c r="K5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3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7"/>
      <c r="H511" s="37"/>
      <c r="I511" s="37"/>
      <c r="J511" s="37"/>
      <c r="K5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3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7"/>
      <c r="H512" s="37"/>
      <c r="I512" s="37"/>
      <c r="J512" s="37"/>
      <c r="K5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3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7"/>
      <c r="H513" s="37"/>
      <c r="I513" s="37"/>
      <c r="J513" s="37"/>
      <c r="K5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3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7"/>
      <c r="H514" s="37"/>
      <c r="I514" s="37"/>
      <c r="J514" s="37"/>
      <c r="K5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3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7"/>
      <c r="H515" s="37"/>
      <c r="I515" s="37"/>
      <c r="J515" s="37"/>
      <c r="K5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3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7"/>
      <c r="H516" s="37"/>
      <c r="I516" s="37"/>
      <c r="J516" s="37"/>
      <c r="K5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3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7"/>
      <c r="H517" s="37"/>
      <c r="I517" s="37"/>
      <c r="J517" s="37"/>
      <c r="K5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3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7"/>
      <c r="H518" s="37"/>
      <c r="I518" s="37"/>
      <c r="J518" s="37"/>
      <c r="K5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3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7"/>
      <c r="H519" s="37"/>
      <c r="I519" s="37"/>
      <c r="J519" s="37"/>
      <c r="K5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3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7"/>
      <c r="H520" s="37"/>
      <c r="I520" s="37"/>
      <c r="J520" s="37"/>
      <c r="K5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3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7"/>
      <c r="H521" s="37"/>
      <c r="I521" s="37"/>
      <c r="J521" s="37"/>
      <c r="K5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3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7"/>
      <c r="H522" s="37"/>
      <c r="I522" s="37"/>
      <c r="J522" s="37"/>
      <c r="K5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3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7"/>
      <c r="H523" s="37"/>
      <c r="I523" s="37"/>
      <c r="J523" s="37"/>
      <c r="K5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3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7"/>
      <c r="H524" s="37"/>
      <c r="I524" s="37"/>
      <c r="J524" s="37"/>
      <c r="K5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3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7"/>
      <c r="H525" s="37"/>
      <c r="I525" s="37"/>
      <c r="J525" s="37"/>
      <c r="K5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3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7"/>
      <c r="H526" s="37"/>
      <c r="I526" s="37"/>
      <c r="J526" s="37"/>
      <c r="K5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3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7"/>
      <c r="H527" s="37"/>
      <c r="I527" s="37"/>
      <c r="J527" s="37"/>
      <c r="K5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3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7"/>
      <c r="H528" s="37"/>
      <c r="I528" s="37"/>
      <c r="J528" s="37"/>
      <c r="K5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3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7"/>
      <c r="H529" s="37"/>
      <c r="I529" s="37"/>
      <c r="J529" s="37"/>
      <c r="K5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3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7"/>
      <c r="H530" s="37"/>
      <c r="I530" s="37"/>
      <c r="J530" s="37"/>
      <c r="K5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3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7"/>
      <c r="H531" s="37"/>
      <c r="I531" s="37"/>
      <c r="J531" s="37"/>
      <c r="K5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3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7"/>
      <c r="H532" s="37"/>
      <c r="I532" s="37"/>
      <c r="J532" s="37"/>
      <c r="K5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3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7"/>
      <c r="H533" s="37"/>
      <c r="I533" s="37"/>
      <c r="J533" s="37"/>
      <c r="K5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3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7"/>
      <c r="H534" s="37"/>
      <c r="I534" s="37"/>
      <c r="J534" s="37"/>
      <c r="K5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3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7"/>
      <c r="H535" s="37"/>
      <c r="I535" s="37"/>
      <c r="J535" s="37"/>
      <c r="K5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3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7"/>
      <c r="H536" s="37"/>
      <c r="I536" s="37"/>
      <c r="J536" s="37"/>
      <c r="K5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3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7"/>
      <c r="H537" s="37"/>
      <c r="I537" s="37"/>
      <c r="J537" s="37"/>
      <c r="K5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3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7"/>
      <c r="H538" s="37"/>
      <c r="I538" s="37"/>
      <c r="J538" s="37"/>
      <c r="K5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3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7"/>
      <c r="H539" s="37"/>
      <c r="I539" s="37"/>
      <c r="J539" s="37"/>
      <c r="K5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3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7"/>
      <c r="H540" s="37"/>
      <c r="I540" s="37"/>
      <c r="J540" s="37"/>
      <c r="K5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3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7"/>
      <c r="H541" s="37"/>
      <c r="I541" s="37"/>
      <c r="J541" s="37"/>
      <c r="K5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3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7"/>
      <c r="H542" s="37"/>
      <c r="I542" s="37"/>
      <c r="J542" s="37"/>
      <c r="K5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3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7"/>
      <c r="H543" s="37"/>
      <c r="I543" s="37"/>
      <c r="J543" s="37"/>
      <c r="K5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3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7"/>
      <c r="H544" s="37"/>
      <c r="I544" s="37"/>
      <c r="J544" s="37"/>
      <c r="K5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3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7"/>
      <c r="H545" s="37"/>
      <c r="I545" s="37"/>
      <c r="J545" s="37"/>
      <c r="K5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3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7"/>
      <c r="H546" s="37"/>
      <c r="I546" s="37"/>
      <c r="J546" s="37"/>
      <c r="K5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3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7"/>
      <c r="H547" s="37"/>
      <c r="I547" s="37"/>
      <c r="J547" s="37"/>
      <c r="K5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3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7"/>
      <c r="H548" s="37"/>
      <c r="I548" s="37"/>
      <c r="J548" s="37"/>
      <c r="K5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3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7"/>
      <c r="H549" s="37"/>
      <c r="I549" s="37"/>
      <c r="J549" s="37"/>
      <c r="K5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3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7"/>
      <c r="H550" s="37"/>
      <c r="I550" s="37"/>
      <c r="J550" s="37"/>
      <c r="K5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3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7"/>
      <c r="H551" s="37"/>
      <c r="I551" s="37"/>
      <c r="J551" s="37"/>
      <c r="K5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3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7"/>
      <c r="H552" s="37"/>
      <c r="I552" s="37"/>
      <c r="J552" s="37"/>
      <c r="K5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3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7"/>
      <c r="H553" s="37"/>
      <c r="I553" s="37"/>
      <c r="J553" s="37"/>
      <c r="K5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3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7"/>
      <c r="H554" s="37"/>
      <c r="I554" s="37"/>
      <c r="J554" s="37"/>
      <c r="K5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3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7"/>
      <c r="H555" s="37"/>
      <c r="I555" s="37"/>
      <c r="J555" s="37"/>
      <c r="K5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3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7"/>
      <c r="H556" s="37"/>
      <c r="I556" s="37"/>
      <c r="J556" s="37"/>
      <c r="K5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3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7"/>
      <c r="H557" s="37"/>
      <c r="I557" s="37"/>
      <c r="J557" s="37"/>
      <c r="K5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3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7"/>
      <c r="H558" s="37"/>
      <c r="I558" s="37"/>
      <c r="J558" s="37"/>
      <c r="K5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3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7"/>
      <c r="H559" s="37"/>
      <c r="I559" s="37"/>
      <c r="J559" s="37"/>
      <c r="K5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3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7"/>
      <c r="H560" s="37"/>
      <c r="I560" s="37"/>
      <c r="J560" s="37"/>
      <c r="K5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3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7"/>
      <c r="H561" s="37"/>
      <c r="I561" s="37"/>
      <c r="J561" s="37"/>
      <c r="K5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3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7"/>
      <c r="H562" s="37"/>
      <c r="I562" s="37"/>
      <c r="J562" s="37"/>
      <c r="K5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3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7"/>
      <c r="H563" s="37"/>
      <c r="I563" s="37"/>
      <c r="J563" s="37"/>
      <c r="K5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3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7"/>
      <c r="H564" s="37"/>
      <c r="I564" s="37"/>
      <c r="J564" s="37"/>
      <c r="K5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3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7"/>
      <c r="H565" s="37"/>
      <c r="I565" s="37"/>
      <c r="J565" s="37"/>
      <c r="K5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3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7"/>
      <c r="H566" s="37"/>
      <c r="I566" s="37"/>
      <c r="J566" s="37"/>
      <c r="K5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3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7"/>
      <c r="H567" s="37"/>
      <c r="I567" s="37"/>
      <c r="J567" s="37"/>
      <c r="K5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3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7"/>
      <c r="H568" s="37"/>
      <c r="I568" s="37"/>
      <c r="J568" s="37"/>
      <c r="K5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3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7"/>
      <c r="H569" s="37"/>
      <c r="I569" s="37"/>
      <c r="J569" s="37"/>
      <c r="K5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3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7"/>
      <c r="H570" s="37"/>
      <c r="I570" s="37"/>
      <c r="J570" s="37"/>
      <c r="K5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3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7"/>
      <c r="H571" s="37"/>
      <c r="I571" s="37"/>
      <c r="J571" s="37"/>
      <c r="K5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3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7"/>
      <c r="H572" s="37"/>
      <c r="I572" s="37"/>
      <c r="J572" s="37"/>
      <c r="K5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3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7"/>
      <c r="H573" s="37"/>
      <c r="I573" s="37"/>
      <c r="J573" s="37"/>
      <c r="K5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3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7"/>
      <c r="H574" s="37"/>
      <c r="I574" s="37"/>
      <c r="J574" s="37"/>
      <c r="K5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3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7"/>
      <c r="H575" s="37"/>
      <c r="I575" s="37"/>
      <c r="J575" s="37"/>
      <c r="K5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3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7"/>
      <c r="H576" s="37"/>
      <c r="I576" s="37"/>
      <c r="J576" s="37"/>
      <c r="K5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3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7"/>
      <c r="H577" s="37"/>
      <c r="I577" s="37"/>
      <c r="J577" s="37"/>
      <c r="K5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3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7"/>
      <c r="H578" s="37"/>
      <c r="I578" s="37"/>
      <c r="J578" s="37"/>
      <c r="K5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3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7"/>
      <c r="H579" s="37"/>
      <c r="I579" s="37"/>
      <c r="J579" s="37"/>
      <c r="K5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3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7"/>
      <c r="H580" s="37"/>
      <c r="I580" s="37"/>
      <c r="J580" s="37"/>
      <c r="K5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3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7"/>
      <c r="H581" s="37"/>
      <c r="I581" s="37"/>
      <c r="J581" s="37"/>
      <c r="K5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3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7"/>
      <c r="H582" s="37"/>
      <c r="I582" s="37"/>
      <c r="J582" s="37"/>
      <c r="K5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3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7"/>
      <c r="H583" s="37"/>
      <c r="I583" s="37"/>
      <c r="J583" s="37"/>
      <c r="K5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3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7"/>
      <c r="H584" s="37"/>
      <c r="I584" s="37"/>
      <c r="J584" s="37"/>
      <c r="K5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3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7"/>
      <c r="H585" s="37"/>
      <c r="I585" s="37"/>
      <c r="J585" s="37"/>
      <c r="K5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3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7"/>
      <c r="H586" s="37"/>
      <c r="I586" s="37"/>
      <c r="J586" s="37"/>
      <c r="K5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3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7"/>
      <c r="H587" s="37"/>
      <c r="I587" s="37"/>
      <c r="J587" s="37"/>
      <c r="K5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3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7"/>
      <c r="H588" s="37"/>
      <c r="I588" s="37"/>
      <c r="J588" s="37"/>
      <c r="K5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3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7"/>
      <c r="H589" s="37"/>
      <c r="I589" s="37"/>
      <c r="J589" s="37"/>
      <c r="K5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3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7"/>
      <c r="H590" s="37"/>
      <c r="I590" s="37"/>
      <c r="J590" s="37"/>
      <c r="K5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3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7"/>
      <c r="H591" s="37"/>
      <c r="I591" s="37"/>
      <c r="J591" s="37"/>
      <c r="K5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3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7"/>
      <c r="H592" s="37"/>
      <c r="I592" s="37"/>
      <c r="J592" s="37"/>
      <c r="K5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3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7"/>
      <c r="H593" s="37"/>
      <c r="I593" s="37"/>
      <c r="J593" s="37"/>
      <c r="K5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3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7"/>
      <c r="H594" s="37"/>
      <c r="I594" s="37"/>
      <c r="J594" s="37"/>
      <c r="K5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3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7"/>
      <c r="H595" s="37"/>
      <c r="I595" s="37"/>
      <c r="J595" s="37"/>
      <c r="K5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3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7"/>
      <c r="H596" s="37"/>
      <c r="I596" s="37"/>
      <c r="J596" s="37"/>
      <c r="K5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3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7"/>
      <c r="H597" s="37"/>
      <c r="I597" s="37"/>
      <c r="J597" s="37"/>
      <c r="K5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3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7"/>
      <c r="H598" s="37"/>
      <c r="I598" s="37"/>
      <c r="J598" s="37"/>
      <c r="K5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3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7"/>
      <c r="H599" s="37"/>
      <c r="I599" s="37"/>
      <c r="J599" s="37"/>
      <c r="K5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3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7"/>
      <c r="H600" s="37"/>
      <c r="I600" s="37"/>
      <c r="J600" s="37"/>
      <c r="K6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3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7"/>
      <c r="H601" s="37"/>
      <c r="I601" s="37"/>
      <c r="J601" s="37"/>
      <c r="K6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3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7"/>
      <c r="H602" s="37"/>
      <c r="I602" s="37"/>
      <c r="J602" s="37"/>
      <c r="K6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3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7"/>
      <c r="H603" s="37"/>
      <c r="I603" s="37"/>
      <c r="J603" s="37"/>
      <c r="K6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3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7"/>
      <c r="H604" s="37"/>
      <c r="I604" s="37"/>
      <c r="J604" s="37"/>
      <c r="K6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3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7"/>
      <c r="H605" s="37"/>
      <c r="I605" s="37"/>
      <c r="J605" s="37"/>
      <c r="K6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3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7"/>
      <c r="H606" s="37"/>
      <c r="I606" s="37"/>
      <c r="J606" s="37"/>
      <c r="K6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3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7"/>
      <c r="H607" s="37"/>
      <c r="I607" s="37"/>
      <c r="J607" s="37"/>
      <c r="K6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3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7"/>
      <c r="H608" s="37"/>
      <c r="I608" s="37"/>
      <c r="J608" s="37"/>
      <c r="K6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3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7"/>
      <c r="H609" s="37"/>
      <c r="I609" s="37"/>
      <c r="J609" s="37"/>
      <c r="K6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3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7"/>
      <c r="H610" s="37"/>
      <c r="I610" s="37"/>
      <c r="J610" s="37"/>
      <c r="K6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3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7"/>
      <c r="H611" s="37"/>
      <c r="I611" s="37"/>
      <c r="J611" s="37"/>
      <c r="K6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3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7"/>
      <c r="H612" s="37"/>
      <c r="I612" s="37"/>
      <c r="J612" s="37"/>
      <c r="K6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3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7"/>
      <c r="H613" s="37"/>
      <c r="I613" s="37"/>
      <c r="J613" s="37"/>
      <c r="K6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3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7"/>
      <c r="H614" s="37"/>
      <c r="I614" s="37"/>
      <c r="J614" s="37"/>
      <c r="K6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3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7"/>
      <c r="H615" s="37"/>
      <c r="I615" s="37"/>
      <c r="J615" s="37"/>
      <c r="K6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3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7"/>
      <c r="H616" s="37"/>
      <c r="I616" s="37"/>
      <c r="J616" s="37"/>
      <c r="K6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3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7"/>
      <c r="H617" s="37"/>
      <c r="I617" s="37"/>
      <c r="J617" s="37"/>
      <c r="K6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3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7"/>
      <c r="H618" s="37"/>
      <c r="I618" s="37"/>
      <c r="J618" s="37"/>
      <c r="K6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3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7"/>
      <c r="H619" s="37"/>
      <c r="I619" s="37"/>
      <c r="J619" s="37"/>
      <c r="K6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3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7"/>
      <c r="H620" s="37"/>
      <c r="I620" s="37"/>
      <c r="J620" s="37"/>
      <c r="K6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3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7"/>
      <c r="H621" s="37"/>
      <c r="I621" s="37"/>
      <c r="J621" s="37"/>
      <c r="K6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3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7"/>
      <c r="H622" s="37"/>
      <c r="I622" s="37"/>
      <c r="J622" s="37"/>
      <c r="K6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3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7"/>
      <c r="H623" s="37"/>
      <c r="I623" s="37"/>
      <c r="J623" s="37"/>
      <c r="K6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3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7"/>
      <c r="H624" s="37"/>
      <c r="I624" s="37"/>
      <c r="J624" s="37"/>
      <c r="K6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3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7"/>
      <c r="H625" s="37"/>
      <c r="I625" s="37"/>
      <c r="J625" s="37"/>
      <c r="K6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3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7"/>
      <c r="H626" s="37"/>
      <c r="I626" s="37"/>
      <c r="J626" s="37"/>
      <c r="K6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3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7"/>
      <c r="H627" s="37"/>
      <c r="I627" s="37"/>
      <c r="J627" s="37"/>
      <c r="K6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3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7"/>
      <c r="H628" s="37"/>
      <c r="I628" s="37"/>
      <c r="J628" s="37"/>
      <c r="K6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3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7"/>
      <c r="H629" s="37"/>
      <c r="I629" s="37"/>
      <c r="J629" s="37"/>
      <c r="K6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3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7"/>
      <c r="H630" s="37"/>
      <c r="I630" s="37"/>
      <c r="J630" s="37"/>
      <c r="K6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3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7"/>
      <c r="H631" s="37"/>
      <c r="I631" s="37"/>
      <c r="J631" s="37"/>
      <c r="K6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3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7"/>
      <c r="H632" s="37"/>
      <c r="I632" s="37"/>
      <c r="J632" s="37"/>
      <c r="K6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3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7"/>
      <c r="H633" s="37"/>
      <c r="I633" s="37"/>
      <c r="J633" s="37"/>
      <c r="K6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3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7"/>
      <c r="H634" s="37"/>
      <c r="I634" s="37"/>
      <c r="J634" s="37"/>
      <c r="K6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3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7"/>
      <c r="H635" s="37"/>
      <c r="I635" s="37"/>
      <c r="J635" s="37"/>
      <c r="K6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3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7"/>
      <c r="H636" s="37"/>
      <c r="I636" s="37"/>
      <c r="J636" s="37"/>
      <c r="K6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3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7"/>
      <c r="H637" s="37"/>
      <c r="I637" s="37"/>
      <c r="J637" s="37"/>
      <c r="K6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3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7"/>
      <c r="H638" s="37"/>
      <c r="I638" s="37"/>
      <c r="J638" s="37"/>
      <c r="K6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3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7"/>
      <c r="H639" s="37"/>
      <c r="I639" s="37"/>
      <c r="J639" s="37"/>
      <c r="K6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3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7"/>
      <c r="H640" s="37"/>
      <c r="I640" s="37"/>
      <c r="J640" s="37"/>
      <c r="K6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3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7"/>
      <c r="H641" s="37"/>
      <c r="I641" s="37"/>
      <c r="J641" s="37"/>
      <c r="K6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3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7"/>
      <c r="H642" s="37"/>
      <c r="I642" s="37"/>
      <c r="J642" s="37"/>
      <c r="K6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3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7"/>
      <c r="H643" s="37"/>
      <c r="I643" s="37"/>
      <c r="J643" s="37"/>
      <c r="K6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3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7"/>
      <c r="H644" s="37"/>
      <c r="I644" s="37"/>
      <c r="J644" s="37"/>
      <c r="K6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3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7"/>
      <c r="H645" s="37"/>
      <c r="I645" s="37"/>
      <c r="J645" s="37"/>
      <c r="K6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3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7"/>
      <c r="H646" s="37"/>
      <c r="I646" s="37"/>
      <c r="J646" s="37"/>
      <c r="K6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3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7"/>
      <c r="H647" s="37"/>
      <c r="I647" s="37"/>
      <c r="J647" s="37"/>
      <c r="K6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3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7"/>
      <c r="H648" s="37"/>
      <c r="I648" s="37"/>
      <c r="J648" s="37"/>
      <c r="K6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3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7"/>
      <c r="H649" s="37"/>
      <c r="I649" s="37"/>
      <c r="J649" s="37"/>
      <c r="K6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3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7"/>
      <c r="H650" s="37"/>
      <c r="I650" s="37"/>
      <c r="J650" s="37"/>
      <c r="K6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3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7"/>
      <c r="H651" s="37"/>
      <c r="I651" s="37"/>
      <c r="J651" s="37"/>
      <c r="K6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3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7"/>
      <c r="H652" s="37"/>
      <c r="I652" s="37"/>
      <c r="J652" s="37"/>
      <c r="K6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3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7"/>
      <c r="H653" s="37"/>
      <c r="I653" s="37"/>
      <c r="J653" s="37"/>
      <c r="K6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3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7"/>
      <c r="H654" s="37"/>
      <c r="I654" s="37"/>
      <c r="J654" s="37"/>
      <c r="K6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3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7"/>
      <c r="H655" s="37"/>
      <c r="I655" s="37"/>
      <c r="J655" s="37"/>
      <c r="K6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3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7"/>
      <c r="H656" s="37"/>
      <c r="I656" s="37"/>
      <c r="J656" s="37"/>
      <c r="K6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3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7"/>
      <c r="H657" s="37"/>
      <c r="I657" s="37"/>
      <c r="J657" s="37"/>
      <c r="K6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3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7"/>
      <c r="H658" s="37"/>
      <c r="I658" s="37"/>
      <c r="J658" s="37"/>
      <c r="K6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3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7"/>
      <c r="H659" s="37"/>
      <c r="I659" s="37"/>
      <c r="J659" s="37"/>
      <c r="K6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3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7"/>
      <c r="H660" s="37"/>
      <c r="I660" s="37"/>
      <c r="J660" s="37"/>
      <c r="K6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3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7"/>
      <c r="H661" s="37"/>
      <c r="I661" s="37"/>
      <c r="J661" s="37"/>
      <c r="K6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3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7"/>
      <c r="H662" s="37"/>
      <c r="I662" s="37"/>
      <c r="J662" s="37"/>
      <c r="K6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3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7"/>
      <c r="H663" s="37"/>
      <c r="I663" s="37"/>
      <c r="J663" s="37"/>
      <c r="K6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3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7"/>
      <c r="H664" s="37"/>
      <c r="I664" s="37"/>
      <c r="J664" s="37"/>
      <c r="K6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3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7"/>
      <c r="H665" s="37"/>
      <c r="I665" s="37"/>
      <c r="J665" s="37"/>
      <c r="K6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3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7"/>
      <c r="H666" s="37"/>
      <c r="I666" s="37"/>
      <c r="J666" s="37"/>
      <c r="K6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3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7"/>
      <c r="H667" s="37"/>
      <c r="I667" s="37"/>
      <c r="J667" s="37"/>
      <c r="K6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3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7"/>
      <c r="H668" s="37"/>
      <c r="I668" s="37"/>
      <c r="J668" s="37"/>
      <c r="K6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3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7"/>
      <c r="H669" s="37"/>
      <c r="I669" s="37"/>
      <c r="J669" s="37"/>
      <c r="K6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3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7"/>
      <c r="H670" s="37"/>
      <c r="I670" s="37"/>
      <c r="J670" s="37"/>
      <c r="K6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3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7"/>
      <c r="H671" s="37"/>
      <c r="I671" s="37"/>
      <c r="J671" s="37"/>
      <c r="K6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3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7"/>
      <c r="H672" s="37"/>
      <c r="I672" s="37"/>
      <c r="J672" s="37"/>
      <c r="K6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3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7"/>
      <c r="H673" s="37"/>
      <c r="I673" s="37"/>
      <c r="J673" s="37"/>
      <c r="K6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3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7"/>
      <c r="H674" s="37"/>
      <c r="I674" s="37"/>
      <c r="J674" s="37"/>
      <c r="K6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3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7"/>
      <c r="H675" s="37"/>
      <c r="I675" s="37"/>
      <c r="J675" s="37"/>
      <c r="K6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3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7"/>
      <c r="H676" s="37"/>
      <c r="I676" s="37"/>
      <c r="J676" s="37"/>
      <c r="K6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3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7"/>
      <c r="H677" s="37"/>
      <c r="I677" s="37"/>
      <c r="J677" s="37"/>
      <c r="K6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3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7"/>
      <c r="H678" s="37"/>
      <c r="I678" s="37"/>
      <c r="J678" s="37"/>
      <c r="K6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3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7"/>
      <c r="H679" s="37"/>
      <c r="I679" s="37"/>
      <c r="J679" s="37"/>
      <c r="K6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3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7"/>
      <c r="H680" s="37"/>
      <c r="I680" s="37"/>
      <c r="J680" s="37"/>
      <c r="K6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3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7"/>
      <c r="H681" s="37"/>
      <c r="I681" s="37"/>
      <c r="J681" s="37"/>
      <c r="K6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3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7"/>
      <c r="H682" s="37"/>
      <c r="I682" s="37"/>
      <c r="J682" s="37"/>
      <c r="K6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3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7"/>
      <c r="H683" s="37"/>
      <c r="I683" s="37"/>
      <c r="J683" s="37"/>
      <c r="K6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3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7"/>
      <c r="H684" s="37"/>
      <c r="I684" s="37"/>
      <c r="J684" s="37"/>
      <c r="K6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3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7"/>
      <c r="H685" s="37"/>
      <c r="I685" s="37"/>
      <c r="J685" s="37"/>
      <c r="K6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3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7"/>
      <c r="H686" s="37"/>
      <c r="I686" s="37"/>
      <c r="J686" s="37"/>
      <c r="K6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3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7"/>
      <c r="H687" s="37"/>
      <c r="I687" s="37"/>
      <c r="J687" s="37"/>
      <c r="K6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3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7"/>
      <c r="H688" s="37"/>
      <c r="I688" s="37"/>
      <c r="J688" s="37"/>
      <c r="K6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3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7"/>
      <c r="H689" s="37"/>
      <c r="I689" s="37"/>
      <c r="J689" s="37"/>
      <c r="K6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3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7"/>
      <c r="H690" s="37"/>
      <c r="I690" s="37"/>
      <c r="J690" s="37"/>
      <c r="K6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3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7"/>
      <c r="H691" s="37"/>
      <c r="I691" s="37"/>
      <c r="J691" s="37"/>
      <c r="K6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3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7"/>
      <c r="H692" s="37"/>
      <c r="I692" s="37"/>
      <c r="J692" s="37"/>
      <c r="K6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3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7"/>
      <c r="H693" s="37"/>
      <c r="I693" s="37"/>
      <c r="J693" s="37"/>
      <c r="K6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3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7"/>
      <c r="H694" s="37"/>
      <c r="I694" s="37"/>
      <c r="J694" s="37"/>
      <c r="K6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3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7"/>
      <c r="H695" s="37"/>
      <c r="I695" s="37"/>
      <c r="J695" s="37"/>
      <c r="K6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3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7"/>
      <c r="H696" s="37"/>
      <c r="I696" s="37"/>
      <c r="J696" s="37"/>
      <c r="K6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3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7"/>
      <c r="H697" s="37"/>
      <c r="I697" s="37"/>
      <c r="J697" s="37"/>
      <c r="K6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3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7"/>
      <c r="H698" s="37"/>
      <c r="I698" s="37"/>
      <c r="J698" s="37"/>
      <c r="K6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3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7"/>
      <c r="H699" s="37"/>
      <c r="I699" s="37"/>
      <c r="J699" s="37"/>
      <c r="K6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3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7"/>
      <c r="H700" s="37"/>
      <c r="I700" s="37"/>
      <c r="J700" s="37"/>
      <c r="K7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3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7"/>
      <c r="H701" s="37"/>
      <c r="I701" s="37"/>
      <c r="J701" s="37"/>
      <c r="K7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3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7"/>
      <c r="H702" s="37"/>
      <c r="I702" s="37"/>
      <c r="J702" s="37"/>
      <c r="K7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3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7"/>
      <c r="H703" s="37"/>
      <c r="I703" s="37"/>
      <c r="J703" s="37"/>
      <c r="K7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3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7"/>
      <c r="H704" s="37"/>
      <c r="I704" s="37"/>
      <c r="J704" s="37"/>
      <c r="K7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3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7"/>
      <c r="H705" s="37"/>
      <c r="I705" s="37"/>
      <c r="J705" s="37"/>
      <c r="K7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3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7"/>
      <c r="H706" s="37"/>
      <c r="I706" s="37"/>
      <c r="J706" s="37"/>
      <c r="K7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3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7"/>
      <c r="H707" s="37"/>
      <c r="I707" s="37"/>
      <c r="J707" s="37"/>
      <c r="K7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3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7"/>
      <c r="H708" s="37"/>
      <c r="I708" s="37"/>
      <c r="J708" s="37"/>
      <c r="K7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3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7"/>
      <c r="H709" s="37"/>
      <c r="I709" s="37"/>
      <c r="J709" s="37"/>
      <c r="K7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3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7"/>
      <c r="H710" s="37"/>
      <c r="I710" s="37"/>
      <c r="J710" s="37"/>
      <c r="K7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3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7"/>
      <c r="H711" s="37"/>
      <c r="I711" s="37"/>
      <c r="J711" s="37"/>
      <c r="K7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3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7"/>
      <c r="H712" s="37"/>
      <c r="I712" s="37"/>
      <c r="J712" s="37"/>
      <c r="K7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3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7"/>
      <c r="H713" s="37"/>
      <c r="I713" s="37"/>
      <c r="J713" s="37"/>
      <c r="K7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3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7"/>
      <c r="H714" s="37"/>
      <c r="I714" s="37"/>
      <c r="J714" s="37"/>
      <c r="K7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3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7"/>
      <c r="H715" s="37"/>
      <c r="I715" s="37"/>
      <c r="J715" s="37"/>
      <c r="K7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3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7"/>
      <c r="H716" s="37"/>
      <c r="I716" s="37"/>
      <c r="J716" s="37"/>
      <c r="K7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3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7"/>
      <c r="H717" s="37"/>
      <c r="I717" s="37"/>
      <c r="J717" s="37"/>
      <c r="K7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3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7"/>
      <c r="H718" s="37"/>
      <c r="I718" s="37"/>
      <c r="J718" s="37"/>
      <c r="K7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3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7"/>
      <c r="H719" s="37"/>
      <c r="I719" s="37"/>
      <c r="J719" s="37"/>
      <c r="K7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3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7"/>
      <c r="H720" s="37"/>
      <c r="I720" s="37"/>
      <c r="J720" s="37"/>
      <c r="K7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3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7"/>
      <c r="H721" s="37"/>
      <c r="I721" s="37"/>
      <c r="J721" s="37"/>
      <c r="K7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3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7"/>
      <c r="H722" s="37"/>
      <c r="I722" s="37"/>
      <c r="J722" s="37"/>
      <c r="K7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3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7"/>
      <c r="H723" s="37"/>
      <c r="I723" s="37"/>
      <c r="J723" s="37"/>
      <c r="K7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3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7"/>
      <c r="H724" s="37"/>
      <c r="I724" s="37"/>
      <c r="J724" s="37"/>
      <c r="K7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3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7"/>
      <c r="H725" s="37"/>
      <c r="I725" s="37"/>
      <c r="J725" s="37"/>
      <c r="K7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3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7"/>
      <c r="H726" s="37"/>
      <c r="I726" s="37"/>
      <c r="J726" s="37"/>
      <c r="K7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3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7"/>
      <c r="H727" s="37"/>
      <c r="I727" s="37"/>
      <c r="J727" s="37"/>
      <c r="K7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3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7"/>
      <c r="H728" s="37"/>
      <c r="I728" s="37"/>
      <c r="J728" s="37"/>
      <c r="K7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3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7"/>
      <c r="H729" s="37"/>
      <c r="I729" s="37"/>
      <c r="J729" s="37"/>
      <c r="K7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3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7"/>
      <c r="H730" s="37"/>
      <c r="I730" s="37"/>
      <c r="J730" s="37"/>
      <c r="K7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3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7"/>
      <c r="H731" s="37"/>
      <c r="I731" s="37"/>
      <c r="J731" s="37"/>
      <c r="K7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3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7"/>
      <c r="H732" s="37"/>
      <c r="I732" s="37"/>
      <c r="J732" s="37"/>
      <c r="K7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3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7"/>
      <c r="H733" s="37"/>
      <c r="I733" s="37"/>
      <c r="J733" s="37"/>
      <c r="K7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3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7"/>
      <c r="H734" s="37"/>
      <c r="I734" s="37"/>
      <c r="J734" s="37"/>
      <c r="K7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3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7"/>
      <c r="H735" s="37"/>
      <c r="I735" s="37"/>
      <c r="J735" s="37"/>
      <c r="K7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3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7"/>
      <c r="H736" s="37"/>
      <c r="I736" s="37"/>
      <c r="J736" s="37"/>
      <c r="K7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3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7"/>
      <c r="H737" s="37"/>
      <c r="I737" s="37"/>
      <c r="J737" s="37"/>
      <c r="K7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3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7"/>
      <c r="H738" s="37"/>
      <c r="I738" s="37"/>
      <c r="J738" s="37"/>
      <c r="K7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3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7"/>
      <c r="H739" s="37"/>
      <c r="I739" s="37"/>
      <c r="J739" s="37"/>
      <c r="K7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3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7"/>
      <c r="H740" s="37"/>
      <c r="I740" s="37"/>
      <c r="J740" s="37"/>
      <c r="K7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3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7"/>
      <c r="H741" s="37"/>
      <c r="I741" s="37"/>
      <c r="J741" s="37"/>
      <c r="K7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3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7"/>
      <c r="H742" s="37"/>
      <c r="I742" s="37"/>
      <c r="J742" s="37"/>
      <c r="K7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3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7"/>
      <c r="H743" s="37"/>
      <c r="I743" s="37"/>
      <c r="J743" s="37"/>
      <c r="K7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3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7"/>
      <c r="H744" s="37"/>
      <c r="I744" s="37"/>
      <c r="J744" s="37"/>
      <c r="K7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3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7"/>
      <c r="H745" s="37"/>
      <c r="I745" s="37"/>
      <c r="J745" s="37"/>
      <c r="K7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3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7"/>
      <c r="H746" s="37"/>
      <c r="I746" s="37"/>
      <c r="J746" s="37"/>
      <c r="K7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3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7"/>
      <c r="H747" s="37"/>
      <c r="I747" s="37"/>
      <c r="J747" s="37"/>
      <c r="K7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3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7"/>
      <c r="H748" s="37"/>
      <c r="I748" s="37"/>
      <c r="J748" s="37"/>
      <c r="K7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3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7"/>
      <c r="H749" s="37"/>
      <c r="I749" s="37"/>
      <c r="J749" s="37"/>
      <c r="K7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3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7"/>
      <c r="H750" s="37"/>
      <c r="I750" s="37"/>
      <c r="J750" s="37"/>
      <c r="K7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3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7"/>
      <c r="H751" s="37"/>
      <c r="I751" s="37"/>
      <c r="J751" s="37"/>
      <c r="K7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3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7"/>
      <c r="H752" s="37"/>
      <c r="I752" s="37"/>
      <c r="J752" s="37"/>
      <c r="K7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3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7"/>
      <c r="H753" s="37"/>
      <c r="I753" s="37"/>
      <c r="J753" s="37"/>
      <c r="K7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3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7"/>
      <c r="H754" s="37"/>
      <c r="I754" s="37"/>
      <c r="J754" s="37"/>
      <c r="K7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3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7"/>
      <c r="H755" s="37"/>
      <c r="I755" s="37"/>
      <c r="J755" s="37"/>
      <c r="K7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3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7"/>
      <c r="H756" s="37"/>
      <c r="I756" s="37"/>
      <c r="J756" s="37"/>
      <c r="K7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3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7"/>
      <c r="H757" s="37"/>
      <c r="I757" s="37"/>
      <c r="J757" s="37"/>
      <c r="K7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3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7"/>
      <c r="H758" s="37"/>
      <c r="I758" s="37"/>
      <c r="J758" s="37"/>
      <c r="K7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3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7"/>
      <c r="H759" s="37"/>
      <c r="I759" s="37"/>
      <c r="J759" s="37"/>
      <c r="K7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3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7"/>
      <c r="H760" s="37"/>
      <c r="I760" s="37"/>
      <c r="J760" s="37"/>
      <c r="K7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3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7"/>
      <c r="H761" s="37"/>
      <c r="I761" s="37"/>
      <c r="J761" s="37"/>
      <c r="K7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3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7"/>
      <c r="H762" s="37"/>
      <c r="I762" s="37"/>
      <c r="J762" s="37"/>
      <c r="K7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3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7"/>
      <c r="H763" s="37"/>
      <c r="I763" s="37"/>
      <c r="J763" s="37"/>
      <c r="K7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3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7"/>
      <c r="H764" s="37"/>
      <c r="I764" s="37"/>
      <c r="J764" s="37"/>
      <c r="K7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3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7"/>
      <c r="H765" s="37"/>
      <c r="I765" s="37"/>
      <c r="J765" s="37"/>
      <c r="K7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3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7"/>
      <c r="H766" s="37"/>
      <c r="I766" s="37"/>
      <c r="J766" s="37"/>
      <c r="K7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3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7"/>
      <c r="H767" s="37"/>
      <c r="I767" s="37"/>
      <c r="J767" s="37"/>
      <c r="K7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3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7"/>
      <c r="H768" s="37"/>
      <c r="I768" s="37"/>
      <c r="J768" s="37"/>
      <c r="K7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3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7"/>
      <c r="H769" s="37"/>
      <c r="I769" s="37"/>
      <c r="J769" s="37"/>
      <c r="K7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3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7"/>
      <c r="H770" s="37"/>
      <c r="I770" s="37"/>
      <c r="J770" s="37"/>
      <c r="K7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3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7"/>
      <c r="H771" s="37"/>
      <c r="I771" s="37"/>
      <c r="J771" s="37"/>
      <c r="K7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3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7"/>
      <c r="H772" s="37"/>
      <c r="I772" s="37"/>
      <c r="J772" s="37"/>
      <c r="K7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3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7"/>
      <c r="H773" s="37"/>
      <c r="I773" s="37"/>
      <c r="J773" s="37"/>
      <c r="K7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3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7"/>
      <c r="H774" s="37"/>
      <c r="I774" s="37"/>
      <c r="J774" s="37"/>
      <c r="K7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3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7"/>
      <c r="H775" s="37"/>
      <c r="I775" s="37"/>
      <c r="J775" s="37"/>
      <c r="K7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3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7"/>
      <c r="H776" s="37"/>
      <c r="I776" s="37"/>
      <c r="J776" s="37"/>
      <c r="K7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3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7"/>
      <c r="H777" s="37"/>
      <c r="I777" s="37"/>
      <c r="J777" s="37"/>
      <c r="K7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3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7"/>
      <c r="H778" s="37"/>
      <c r="I778" s="37"/>
      <c r="J778" s="37"/>
      <c r="K7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3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7"/>
      <c r="H779" s="37"/>
      <c r="I779" s="37"/>
      <c r="J779" s="37"/>
      <c r="K7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3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7"/>
      <c r="H780" s="37"/>
      <c r="I780" s="37"/>
      <c r="J780" s="37"/>
      <c r="K7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3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7"/>
      <c r="H781" s="37"/>
      <c r="I781" s="37"/>
      <c r="J781" s="37"/>
      <c r="K7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3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7"/>
      <c r="H782" s="37"/>
      <c r="I782" s="37"/>
      <c r="J782" s="37"/>
      <c r="K7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3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7"/>
      <c r="H783" s="37"/>
      <c r="I783" s="37"/>
      <c r="J783" s="37"/>
      <c r="K7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3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7"/>
      <c r="H784" s="37"/>
      <c r="I784" s="37"/>
      <c r="J784" s="37"/>
      <c r="K7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3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7"/>
      <c r="H785" s="37"/>
      <c r="I785" s="37"/>
      <c r="J785" s="37"/>
      <c r="K7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3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7"/>
      <c r="H786" s="37"/>
      <c r="I786" s="37"/>
      <c r="J786" s="37"/>
      <c r="K7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3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7"/>
      <c r="H787" s="37"/>
      <c r="I787" s="37"/>
      <c r="J787" s="37"/>
      <c r="K7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3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7"/>
      <c r="H788" s="37"/>
      <c r="I788" s="37"/>
      <c r="J788" s="37"/>
      <c r="K7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3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7"/>
      <c r="H789" s="37"/>
      <c r="I789" s="37"/>
      <c r="J789" s="37"/>
      <c r="K7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3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7"/>
      <c r="H790" s="37"/>
      <c r="I790" s="37"/>
      <c r="J790" s="37"/>
      <c r="K7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3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7"/>
      <c r="H791" s="37"/>
      <c r="I791" s="37"/>
      <c r="J791" s="37"/>
      <c r="K7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3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7"/>
      <c r="H792" s="37"/>
      <c r="I792" s="37"/>
      <c r="J792" s="37"/>
      <c r="K7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3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7"/>
      <c r="H793" s="37"/>
      <c r="I793" s="37"/>
      <c r="J793" s="37"/>
      <c r="K7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3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7"/>
      <c r="H794" s="37"/>
      <c r="I794" s="37"/>
      <c r="J794" s="37"/>
      <c r="K7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3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7"/>
      <c r="H795" s="37"/>
      <c r="I795" s="37"/>
      <c r="J795" s="37"/>
      <c r="K7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3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7"/>
      <c r="H796" s="37"/>
      <c r="I796" s="37"/>
      <c r="J796" s="37"/>
      <c r="K7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3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7"/>
      <c r="H797" s="37"/>
      <c r="I797" s="37"/>
      <c r="J797" s="37"/>
      <c r="K7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3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7"/>
      <c r="H798" s="37"/>
      <c r="I798" s="37"/>
      <c r="J798" s="37"/>
      <c r="K7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3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7"/>
      <c r="H799" s="37"/>
      <c r="I799" s="37"/>
      <c r="J799" s="37"/>
      <c r="K7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3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7"/>
      <c r="H800" s="37"/>
      <c r="I800" s="37"/>
      <c r="J800" s="37"/>
      <c r="K8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3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7"/>
      <c r="H801" s="37"/>
      <c r="I801" s="37"/>
      <c r="J801" s="37"/>
      <c r="K8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3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7"/>
      <c r="H802" s="37"/>
      <c r="I802" s="37"/>
      <c r="J802" s="37"/>
      <c r="K8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3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7"/>
      <c r="H803" s="37"/>
      <c r="I803" s="37"/>
      <c r="J803" s="37"/>
      <c r="K8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3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7"/>
      <c r="H804" s="37"/>
      <c r="I804" s="37"/>
      <c r="J804" s="37"/>
      <c r="K8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3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7"/>
      <c r="H805" s="37"/>
      <c r="I805" s="37"/>
      <c r="J805" s="37"/>
      <c r="K8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3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7"/>
      <c r="H806" s="37"/>
      <c r="I806" s="37"/>
      <c r="J806" s="37"/>
      <c r="K8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3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7"/>
      <c r="H807" s="37"/>
      <c r="I807" s="37"/>
      <c r="J807" s="37"/>
      <c r="K8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3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7"/>
      <c r="H808" s="37"/>
      <c r="I808" s="37"/>
      <c r="J808" s="37"/>
      <c r="K8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3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7"/>
      <c r="H809" s="37"/>
      <c r="I809" s="37"/>
      <c r="J809" s="37"/>
      <c r="K8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3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7"/>
      <c r="H810" s="37"/>
      <c r="I810" s="37"/>
      <c r="J810" s="37"/>
      <c r="K8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3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7"/>
      <c r="H811" s="37"/>
      <c r="I811" s="37"/>
      <c r="J811" s="37"/>
      <c r="K8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3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7"/>
      <c r="H812" s="37"/>
      <c r="I812" s="37"/>
      <c r="J812" s="37"/>
      <c r="K8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3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7"/>
      <c r="H813" s="37"/>
      <c r="I813" s="37"/>
      <c r="J813" s="37"/>
      <c r="K8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3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7"/>
      <c r="H814" s="37"/>
      <c r="I814" s="37"/>
      <c r="J814" s="37"/>
      <c r="K8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3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7"/>
      <c r="H815" s="37"/>
      <c r="I815" s="37"/>
      <c r="J815" s="37"/>
      <c r="K8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3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7"/>
      <c r="H816" s="37"/>
      <c r="I816" s="37"/>
      <c r="J816" s="37"/>
      <c r="K8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3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7"/>
      <c r="H817" s="37"/>
      <c r="I817" s="37"/>
      <c r="J817" s="37"/>
      <c r="K8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3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7"/>
      <c r="H818" s="37"/>
      <c r="I818" s="37"/>
      <c r="J818" s="37"/>
      <c r="K8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3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7"/>
      <c r="H819" s="37"/>
      <c r="I819" s="37"/>
      <c r="J819" s="37"/>
      <c r="K8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3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7"/>
      <c r="H820" s="37"/>
      <c r="I820" s="37"/>
      <c r="J820" s="37"/>
      <c r="K8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3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7"/>
      <c r="H821" s="37"/>
      <c r="I821" s="37"/>
      <c r="J821" s="37"/>
      <c r="K8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3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7"/>
      <c r="H822" s="37"/>
      <c r="I822" s="37"/>
      <c r="J822" s="37"/>
      <c r="K8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3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7"/>
      <c r="H823" s="37"/>
      <c r="I823" s="37"/>
      <c r="J823" s="37"/>
      <c r="K8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3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7"/>
      <c r="H824" s="37"/>
      <c r="I824" s="37"/>
      <c r="J824" s="37"/>
      <c r="K8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3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7"/>
      <c r="H825" s="37"/>
      <c r="I825" s="37"/>
      <c r="J825" s="37"/>
      <c r="K8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3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7"/>
      <c r="H826" s="37"/>
      <c r="I826" s="37"/>
      <c r="J826" s="37"/>
      <c r="K8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3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7"/>
      <c r="H827" s="37"/>
      <c r="I827" s="37"/>
      <c r="J827" s="37"/>
      <c r="K8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3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7"/>
      <c r="H828" s="37"/>
      <c r="I828" s="37"/>
      <c r="J828" s="37"/>
      <c r="K8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3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7"/>
      <c r="H829" s="37"/>
      <c r="I829" s="37"/>
      <c r="J829" s="37"/>
      <c r="K8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3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7"/>
      <c r="H830" s="37"/>
      <c r="I830" s="37"/>
      <c r="J830" s="37"/>
      <c r="K8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3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7"/>
      <c r="H831" s="37"/>
      <c r="I831" s="37"/>
      <c r="J831" s="37"/>
      <c r="K8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3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7"/>
      <c r="H832" s="37"/>
      <c r="I832" s="37"/>
      <c r="J832" s="37"/>
      <c r="K8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3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7"/>
      <c r="H833" s="37"/>
      <c r="I833" s="37"/>
      <c r="J833" s="37"/>
      <c r="K8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3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7"/>
      <c r="H834" s="37"/>
      <c r="I834" s="37"/>
      <c r="J834" s="37"/>
      <c r="K8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3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7"/>
      <c r="H835" s="37"/>
      <c r="I835" s="37"/>
      <c r="J835" s="37"/>
      <c r="K8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3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7"/>
      <c r="H836" s="37"/>
      <c r="I836" s="37"/>
      <c r="J836" s="37"/>
      <c r="K8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3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7"/>
      <c r="H837" s="37"/>
      <c r="I837" s="37"/>
      <c r="J837" s="37"/>
      <c r="K8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3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7"/>
      <c r="H838" s="37"/>
      <c r="I838" s="37"/>
      <c r="J838" s="37"/>
      <c r="K8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3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7"/>
      <c r="H839" s="37"/>
      <c r="I839" s="37"/>
      <c r="J839" s="37"/>
      <c r="K8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3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7"/>
      <c r="H840" s="37"/>
      <c r="I840" s="37"/>
      <c r="J840" s="37"/>
      <c r="K8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3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7"/>
      <c r="H841" s="37"/>
      <c r="I841" s="37"/>
      <c r="J841" s="37"/>
      <c r="K8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3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7"/>
      <c r="H842" s="37"/>
      <c r="I842" s="37"/>
      <c r="J842" s="37"/>
      <c r="K8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3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7"/>
      <c r="H843" s="37"/>
      <c r="I843" s="37"/>
      <c r="J843" s="37"/>
      <c r="K8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3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7"/>
      <c r="H844" s="37"/>
      <c r="I844" s="37"/>
      <c r="J844" s="37"/>
      <c r="K8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3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7"/>
      <c r="H845" s="37"/>
      <c r="I845" s="37"/>
      <c r="J845" s="37"/>
      <c r="K8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3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7"/>
      <c r="H846" s="37"/>
      <c r="I846" s="37"/>
      <c r="J846" s="37"/>
      <c r="K8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3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7"/>
      <c r="H847" s="37"/>
      <c r="I847" s="37"/>
      <c r="J847" s="37"/>
      <c r="K8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3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7"/>
      <c r="H848" s="37"/>
      <c r="I848" s="37"/>
      <c r="J848" s="37"/>
      <c r="K8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3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7"/>
      <c r="H849" s="37"/>
      <c r="I849" s="37"/>
      <c r="J849" s="37"/>
      <c r="K8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3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7"/>
      <c r="H850" s="37"/>
      <c r="I850" s="37"/>
      <c r="J850" s="37"/>
      <c r="K8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3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7"/>
      <c r="H851" s="37"/>
      <c r="I851" s="37"/>
      <c r="J851" s="37"/>
      <c r="K8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3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7"/>
      <c r="H852" s="37"/>
      <c r="I852" s="37"/>
      <c r="J852" s="37"/>
      <c r="K8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3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7"/>
      <c r="H853" s="37"/>
      <c r="I853" s="37"/>
      <c r="J853" s="37"/>
      <c r="K8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3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7"/>
      <c r="H854" s="37"/>
      <c r="I854" s="37"/>
      <c r="J854" s="37"/>
      <c r="K8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3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7"/>
      <c r="H855" s="37"/>
      <c r="I855" s="37"/>
      <c r="J855" s="37"/>
      <c r="K8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3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7"/>
      <c r="H856" s="37"/>
      <c r="I856" s="37"/>
      <c r="J856" s="37"/>
      <c r="K8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3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7"/>
      <c r="H857" s="37"/>
      <c r="I857" s="37"/>
      <c r="J857" s="37"/>
      <c r="K8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3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7"/>
      <c r="H858" s="37"/>
      <c r="I858" s="37"/>
      <c r="J858" s="37"/>
      <c r="K8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3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7"/>
      <c r="H859" s="37"/>
      <c r="I859" s="37"/>
      <c r="J859" s="37"/>
      <c r="K8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3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7"/>
      <c r="H860" s="37"/>
      <c r="I860" s="37"/>
      <c r="J860" s="37"/>
      <c r="K8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3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7"/>
      <c r="H861" s="37"/>
      <c r="I861" s="37"/>
      <c r="J861" s="37"/>
      <c r="K8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3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7"/>
      <c r="H862" s="37"/>
      <c r="I862" s="37"/>
      <c r="J862" s="37"/>
      <c r="K8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3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7"/>
      <c r="H863" s="37"/>
      <c r="I863" s="37"/>
      <c r="J863" s="37"/>
      <c r="K8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3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7"/>
      <c r="H864" s="37"/>
      <c r="I864" s="37"/>
      <c r="J864" s="37"/>
      <c r="K8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3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7"/>
      <c r="H865" s="37"/>
      <c r="I865" s="37"/>
      <c r="J865" s="37"/>
      <c r="K8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3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7"/>
      <c r="H866" s="37"/>
      <c r="I866" s="37"/>
      <c r="J866" s="37"/>
      <c r="K8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3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7"/>
      <c r="H867" s="37"/>
      <c r="I867" s="37"/>
      <c r="J867" s="37"/>
      <c r="K8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3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7"/>
      <c r="H868" s="37"/>
      <c r="I868" s="37"/>
      <c r="J868" s="37"/>
      <c r="K8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3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7"/>
      <c r="H869" s="37"/>
      <c r="I869" s="37"/>
      <c r="J869" s="37"/>
      <c r="K8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3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7"/>
      <c r="H870" s="37"/>
      <c r="I870" s="37"/>
      <c r="J870" s="37"/>
      <c r="K8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3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7"/>
      <c r="H871" s="37"/>
      <c r="I871" s="37"/>
      <c r="J871" s="37"/>
      <c r="K8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3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7"/>
      <c r="H872" s="37"/>
      <c r="I872" s="37"/>
      <c r="J872" s="37"/>
      <c r="K8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3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7"/>
      <c r="H873" s="37"/>
      <c r="I873" s="37"/>
      <c r="J873" s="37"/>
      <c r="K8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3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7"/>
      <c r="H874" s="37"/>
      <c r="I874" s="37"/>
      <c r="J874" s="37"/>
      <c r="K8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3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7"/>
      <c r="H875" s="37"/>
      <c r="I875" s="37"/>
      <c r="J875" s="37"/>
      <c r="K8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3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7"/>
      <c r="H876" s="37"/>
      <c r="I876" s="37"/>
      <c r="J876" s="37"/>
      <c r="K8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3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7"/>
      <c r="H877" s="37"/>
      <c r="I877" s="37"/>
      <c r="J877" s="37"/>
      <c r="K8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3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7"/>
      <c r="H878" s="37"/>
      <c r="I878" s="37"/>
      <c r="J878" s="37"/>
      <c r="K8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3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7"/>
      <c r="H879" s="37"/>
      <c r="I879" s="37"/>
      <c r="J879" s="37"/>
      <c r="K8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3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7"/>
      <c r="H880" s="37"/>
      <c r="I880" s="37"/>
      <c r="J880" s="37"/>
      <c r="K8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3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7"/>
      <c r="H881" s="37"/>
      <c r="I881" s="37"/>
      <c r="J881" s="37"/>
      <c r="K8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3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7"/>
      <c r="H882" s="37"/>
      <c r="I882" s="37"/>
      <c r="J882" s="37"/>
      <c r="K8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3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7"/>
      <c r="H883" s="37"/>
      <c r="I883" s="37"/>
      <c r="J883" s="37"/>
      <c r="K8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3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7"/>
      <c r="H884" s="37"/>
      <c r="I884" s="37"/>
      <c r="J884" s="37"/>
      <c r="K8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3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7"/>
      <c r="H885" s="37"/>
      <c r="I885" s="37"/>
      <c r="J885" s="37"/>
      <c r="K8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3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7"/>
      <c r="H886" s="37"/>
      <c r="I886" s="37"/>
      <c r="J886" s="37"/>
      <c r="K8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3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7"/>
      <c r="H887" s="37"/>
      <c r="I887" s="37"/>
      <c r="J887" s="37"/>
      <c r="K8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3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7"/>
      <c r="H888" s="37"/>
      <c r="I888" s="37"/>
      <c r="J888" s="37"/>
      <c r="K8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3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7"/>
      <c r="H889" s="37"/>
      <c r="I889" s="37"/>
      <c r="J889" s="37"/>
      <c r="K8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3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7"/>
      <c r="H890" s="37"/>
      <c r="I890" s="37"/>
      <c r="J890" s="37"/>
      <c r="K8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3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7"/>
      <c r="H891" s="37"/>
      <c r="I891" s="37"/>
      <c r="J891" s="37"/>
      <c r="K8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3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7"/>
      <c r="H892" s="37"/>
      <c r="I892" s="37"/>
      <c r="J892" s="37"/>
      <c r="K8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3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7"/>
      <c r="H893" s="37"/>
      <c r="I893" s="37"/>
      <c r="J893" s="37"/>
      <c r="K8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3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7"/>
      <c r="H894" s="37"/>
      <c r="I894" s="37"/>
      <c r="J894" s="37"/>
      <c r="K8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3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7"/>
      <c r="H895" s="37"/>
      <c r="I895" s="37"/>
      <c r="J895" s="37"/>
      <c r="K8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3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7"/>
      <c r="H896" s="37"/>
      <c r="I896" s="37"/>
      <c r="J896" s="37"/>
      <c r="K8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3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7"/>
      <c r="H897" s="37"/>
      <c r="I897" s="37"/>
      <c r="J897" s="37"/>
      <c r="K8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3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7"/>
      <c r="H898" s="37"/>
      <c r="I898" s="37"/>
      <c r="J898" s="37"/>
      <c r="K8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3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7"/>
      <c r="H899" s="37"/>
      <c r="I899" s="37"/>
      <c r="J899" s="37"/>
      <c r="K8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3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7"/>
      <c r="H900" s="37"/>
      <c r="I900" s="37"/>
      <c r="J900" s="37"/>
      <c r="K9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3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7"/>
      <c r="H901" s="37"/>
      <c r="I901" s="37"/>
      <c r="J901" s="37"/>
      <c r="K9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3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7"/>
      <c r="H902" s="37"/>
      <c r="I902" s="37"/>
      <c r="J902" s="37"/>
      <c r="K9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3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7"/>
      <c r="H903" s="37"/>
      <c r="I903" s="37"/>
      <c r="J903" s="37"/>
      <c r="K9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3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7"/>
      <c r="H904" s="37"/>
      <c r="I904" s="37"/>
      <c r="J904" s="37"/>
      <c r="K9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3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7"/>
      <c r="H905" s="37"/>
      <c r="I905" s="37"/>
      <c r="J905" s="37"/>
      <c r="K9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3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7"/>
      <c r="H906" s="37"/>
      <c r="I906" s="37"/>
      <c r="J906" s="37"/>
      <c r="K9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3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7"/>
      <c r="H907" s="37"/>
      <c r="I907" s="37"/>
      <c r="J907" s="37"/>
      <c r="K9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3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7"/>
      <c r="H908" s="37"/>
      <c r="I908" s="37"/>
      <c r="J908" s="37"/>
      <c r="K9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3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7"/>
      <c r="H909" s="37"/>
      <c r="I909" s="37"/>
      <c r="J909" s="37"/>
      <c r="K9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3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7"/>
      <c r="H910" s="37"/>
      <c r="I910" s="37"/>
      <c r="J910" s="37"/>
      <c r="K9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3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7"/>
      <c r="H911" s="37"/>
      <c r="I911" s="37"/>
      <c r="J911" s="37"/>
      <c r="K9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3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7"/>
      <c r="H912" s="37"/>
      <c r="I912" s="37"/>
      <c r="J912" s="37"/>
      <c r="K9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3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7"/>
      <c r="H913" s="37"/>
      <c r="I913" s="37"/>
      <c r="J913" s="37"/>
      <c r="K9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3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7"/>
      <c r="H914" s="37"/>
      <c r="I914" s="37"/>
      <c r="J914" s="37"/>
      <c r="K9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3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7"/>
      <c r="H915" s="37"/>
      <c r="I915" s="37"/>
      <c r="J915" s="37"/>
      <c r="K9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3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7"/>
      <c r="H916" s="37"/>
      <c r="I916" s="37"/>
      <c r="J916" s="37"/>
      <c r="K9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3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7"/>
      <c r="H917" s="37"/>
      <c r="I917" s="37"/>
      <c r="J917" s="37"/>
      <c r="K91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3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7"/>
      <c r="H918" s="37"/>
      <c r="I918" s="37"/>
      <c r="J918" s="37"/>
      <c r="K91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3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7"/>
      <c r="H919" s="37"/>
      <c r="I919" s="37"/>
      <c r="J919" s="37"/>
      <c r="K91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3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7"/>
      <c r="H920" s="37"/>
      <c r="I920" s="37"/>
      <c r="J920" s="37"/>
      <c r="K92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3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7"/>
      <c r="H921" s="37"/>
      <c r="I921" s="37"/>
      <c r="J921" s="37"/>
      <c r="K92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3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7"/>
      <c r="H922" s="37"/>
      <c r="I922" s="37"/>
      <c r="J922" s="37"/>
      <c r="K92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3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7"/>
      <c r="H923" s="37"/>
      <c r="I923" s="37"/>
      <c r="J923" s="37"/>
      <c r="K92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3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7"/>
      <c r="H924" s="37"/>
      <c r="I924" s="37"/>
      <c r="J924" s="37"/>
      <c r="K92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3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7"/>
      <c r="H925" s="37"/>
      <c r="I925" s="37"/>
      <c r="J925" s="37"/>
      <c r="K92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3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7"/>
      <c r="H926" s="37"/>
      <c r="I926" s="37"/>
      <c r="J926" s="37"/>
      <c r="K92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3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7"/>
      <c r="H927" s="37"/>
      <c r="I927" s="37"/>
      <c r="J927" s="37"/>
      <c r="K92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3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7"/>
      <c r="H928" s="37"/>
      <c r="I928" s="37"/>
      <c r="J928" s="37"/>
      <c r="K92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3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7"/>
      <c r="H929" s="37"/>
      <c r="I929" s="37"/>
      <c r="J929" s="37"/>
      <c r="K92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3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7"/>
      <c r="H930" s="37"/>
      <c r="I930" s="37"/>
      <c r="J930" s="37"/>
      <c r="K93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3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7"/>
      <c r="H931" s="37"/>
      <c r="I931" s="37"/>
      <c r="J931" s="37"/>
      <c r="K93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3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7"/>
      <c r="H932" s="37"/>
      <c r="I932" s="37"/>
      <c r="J932" s="37"/>
      <c r="K93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3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7"/>
      <c r="H933" s="37"/>
      <c r="I933" s="37"/>
      <c r="J933" s="37"/>
      <c r="K93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3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7"/>
      <c r="H934" s="37"/>
      <c r="I934" s="37"/>
      <c r="J934" s="37"/>
      <c r="K93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3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7"/>
      <c r="H935" s="37"/>
      <c r="I935" s="37"/>
      <c r="J935" s="37"/>
      <c r="K93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3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7"/>
      <c r="H936" s="37"/>
      <c r="I936" s="37"/>
      <c r="J936" s="37"/>
      <c r="K93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3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7"/>
      <c r="H937" s="37"/>
      <c r="I937" s="37"/>
      <c r="J937" s="37"/>
      <c r="K93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3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7"/>
      <c r="H938" s="37"/>
      <c r="I938" s="37"/>
      <c r="J938" s="37"/>
      <c r="K93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3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7"/>
      <c r="H939" s="37"/>
      <c r="I939" s="37"/>
      <c r="J939" s="37"/>
      <c r="K93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3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7"/>
      <c r="H940" s="37"/>
      <c r="I940" s="37"/>
      <c r="J940" s="37"/>
      <c r="K94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3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7"/>
      <c r="H941" s="37"/>
      <c r="I941" s="37"/>
      <c r="J941" s="37"/>
      <c r="K94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3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7"/>
      <c r="H942" s="37"/>
      <c r="I942" s="37"/>
      <c r="J942" s="37"/>
      <c r="K94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3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7"/>
      <c r="H943" s="37"/>
      <c r="I943" s="37"/>
      <c r="J943" s="37"/>
      <c r="K94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3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7"/>
      <c r="H944" s="37"/>
      <c r="I944" s="37"/>
      <c r="J944" s="37"/>
      <c r="K94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3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7"/>
      <c r="H945" s="37"/>
      <c r="I945" s="37"/>
      <c r="J945" s="37"/>
      <c r="K94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3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7"/>
      <c r="H946" s="37"/>
      <c r="I946" s="37"/>
      <c r="J946" s="37"/>
      <c r="K94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3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7"/>
      <c r="H947" s="37"/>
      <c r="I947" s="37"/>
      <c r="J947" s="37"/>
      <c r="K94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3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7"/>
      <c r="H948" s="37"/>
      <c r="I948" s="37"/>
      <c r="J948" s="37"/>
      <c r="K94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3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7"/>
      <c r="H949" s="37"/>
      <c r="I949" s="37"/>
      <c r="J949" s="37"/>
      <c r="K94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3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7"/>
      <c r="H950" s="37"/>
      <c r="I950" s="37"/>
      <c r="J950" s="37"/>
      <c r="K95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3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7"/>
      <c r="H951" s="37"/>
      <c r="I951" s="37"/>
      <c r="J951" s="37"/>
      <c r="K95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3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7"/>
      <c r="H952" s="37"/>
      <c r="I952" s="37"/>
      <c r="J952" s="37"/>
      <c r="K95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3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7"/>
      <c r="H953" s="37"/>
      <c r="I953" s="37"/>
      <c r="J953" s="37"/>
      <c r="K95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3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7"/>
      <c r="H954" s="37"/>
      <c r="I954" s="37"/>
      <c r="J954" s="37"/>
      <c r="K95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3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7"/>
      <c r="H955" s="37"/>
      <c r="I955" s="37"/>
      <c r="J955" s="37"/>
      <c r="K95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3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7"/>
      <c r="H956" s="37"/>
      <c r="I956" s="37"/>
      <c r="J956" s="37"/>
      <c r="K95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3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7"/>
      <c r="H957" s="37"/>
      <c r="I957" s="37"/>
      <c r="J957" s="37"/>
      <c r="K95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3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7"/>
      <c r="H958" s="37"/>
      <c r="I958" s="37"/>
      <c r="J958" s="37"/>
      <c r="K95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3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7"/>
      <c r="H959" s="37"/>
      <c r="I959" s="37"/>
      <c r="J959" s="37"/>
      <c r="K95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3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7"/>
      <c r="H960" s="37"/>
      <c r="I960" s="37"/>
      <c r="J960" s="37"/>
      <c r="K96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3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7"/>
      <c r="H961" s="37"/>
      <c r="I961" s="37"/>
      <c r="J961" s="37"/>
      <c r="K96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3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7"/>
      <c r="H962" s="37"/>
      <c r="I962" s="37"/>
      <c r="J962" s="37"/>
      <c r="K96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3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7"/>
      <c r="H963" s="37"/>
      <c r="I963" s="37"/>
      <c r="J963" s="37"/>
      <c r="K96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3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7"/>
      <c r="H964" s="37"/>
      <c r="I964" s="37"/>
      <c r="J964" s="37"/>
      <c r="K96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3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7"/>
      <c r="H965" s="37"/>
      <c r="I965" s="37"/>
      <c r="J965" s="37"/>
      <c r="K96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3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7"/>
      <c r="H966" s="37"/>
      <c r="I966" s="37"/>
      <c r="J966" s="37"/>
      <c r="K96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3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7"/>
      <c r="H967" s="37"/>
      <c r="I967" s="37"/>
      <c r="J967" s="37"/>
      <c r="K96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3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7"/>
      <c r="H968" s="37"/>
      <c r="I968" s="37"/>
      <c r="J968" s="37"/>
      <c r="K96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3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7"/>
      <c r="H969" s="37"/>
      <c r="I969" s="37"/>
      <c r="J969" s="37"/>
      <c r="K96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3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7"/>
      <c r="H970" s="37"/>
      <c r="I970" s="37"/>
      <c r="J970" s="37"/>
      <c r="K97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3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7"/>
      <c r="H971" s="37"/>
      <c r="I971" s="37"/>
      <c r="J971" s="37"/>
      <c r="K97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3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7"/>
      <c r="H972" s="37"/>
      <c r="I972" s="37"/>
      <c r="J972" s="37"/>
      <c r="K97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3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7"/>
      <c r="H973" s="37"/>
      <c r="I973" s="37"/>
      <c r="J973" s="37"/>
      <c r="K97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3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7"/>
      <c r="H974" s="37"/>
      <c r="I974" s="37"/>
      <c r="J974" s="37"/>
      <c r="K97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3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7"/>
      <c r="H975" s="37"/>
      <c r="I975" s="37"/>
      <c r="J975" s="37"/>
      <c r="K97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3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7"/>
      <c r="H976" s="37"/>
      <c r="I976" s="37"/>
      <c r="J976" s="37"/>
      <c r="K97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3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7"/>
      <c r="H977" s="37"/>
      <c r="I977" s="37"/>
      <c r="J977" s="37"/>
      <c r="K97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3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7"/>
      <c r="H978" s="37"/>
      <c r="I978" s="37"/>
      <c r="J978" s="37"/>
      <c r="K97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3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7"/>
      <c r="H979" s="37"/>
      <c r="I979" s="37"/>
      <c r="J979" s="37"/>
      <c r="K97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3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7"/>
      <c r="H980" s="37"/>
      <c r="I980" s="37"/>
      <c r="J980" s="37"/>
      <c r="K98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3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7"/>
      <c r="H981" s="37"/>
      <c r="I981" s="37"/>
      <c r="J981" s="37"/>
      <c r="K98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3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7"/>
      <c r="H982" s="37"/>
      <c r="I982" s="37"/>
      <c r="J982" s="37"/>
      <c r="K98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3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7"/>
      <c r="H983" s="37"/>
      <c r="I983" s="37"/>
      <c r="J983" s="37"/>
      <c r="K98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3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7"/>
      <c r="H984" s="37"/>
      <c r="I984" s="37"/>
      <c r="J984" s="37"/>
      <c r="K98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3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7"/>
      <c r="H985" s="37"/>
      <c r="I985" s="37"/>
      <c r="J985" s="37"/>
      <c r="K98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3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7"/>
      <c r="H986" s="37"/>
      <c r="I986" s="37"/>
      <c r="J986" s="37"/>
      <c r="K98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3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7"/>
      <c r="H987" s="37"/>
      <c r="I987" s="37"/>
      <c r="J987" s="37"/>
      <c r="K98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3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7"/>
      <c r="H988" s="37"/>
      <c r="I988" s="37"/>
      <c r="J988" s="37"/>
      <c r="K98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3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7"/>
      <c r="H989" s="37"/>
      <c r="I989" s="37"/>
      <c r="J989" s="37"/>
      <c r="K98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3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7"/>
      <c r="H990" s="37"/>
      <c r="I990" s="37"/>
      <c r="J990" s="37"/>
      <c r="K99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3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7"/>
      <c r="H991" s="37"/>
      <c r="I991" s="37"/>
      <c r="J991" s="37"/>
      <c r="K99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3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7"/>
      <c r="H992" s="37"/>
      <c r="I992" s="37"/>
      <c r="J992" s="37"/>
      <c r="K99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3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7"/>
      <c r="H993" s="37"/>
      <c r="I993" s="37"/>
      <c r="J993" s="37"/>
      <c r="K99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3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7"/>
      <c r="H994" s="37"/>
      <c r="I994" s="37"/>
      <c r="J994" s="37"/>
      <c r="K99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3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7"/>
      <c r="H995" s="37"/>
      <c r="I995" s="37"/>
      <c r="J995" s="37"/>
      <c r="K99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3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7"/>
      <c r="H996" s="37"/>
      <c r="I996" s="37"/>
      <c r="J996" s="37"/>
      <c r="K99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3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7"/>
      <c r="H997" s="37"/>
      <c r="I997" s="37"/>
      <c r="J997" s="37"/>
      <c r="K99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3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7"/>
      <c r="H998" s="37"/>
      <c r="I998" s="37"/>
      <c r="J998" s="37"/>
      <c r="K99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3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7"/>
      <c r="H999" s="37"/>
      <c r="I999" s="37"/>
      <c r="J999" s="37"/>
      <c r="K99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3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7"/>
      <c r="H1000" s="37"/>
      <c r="I1000" s="37"/>
      <c r="J1000" s="37"/>
      <c r="K100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3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7"/>
      <c r="H1001" s="37"/>
      <c r="I1001" s="37"/>
      <c r="J1001" s="37"/>
      <c r="K100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3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7"/>
      <c r="H1002" s="37"/>
      <c r="I1002" s="37"/>
      <c r="J1002" s="37"/>
      <c r="K100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3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7"/>
      <c r="H1003" s="37"/>
      <c r="I1003" s="37"/>
      <c r="J1003" s="37"/>
      <c r="K100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3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7"/>
      <c r="H1004" s="37"/>
      <c r="I1004" s="37"/>
      <c r="J1004" s="37"/>
      <c r="K100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3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7"/>
      <c r="H1005" s="37"/>
      <c r="I1005" s="37"/>
      <c r="J1005" s="37"/>
      <c r="K100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3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7"/>
      <c r="H1006" s="37"/>
      <c r="I1006" s="37"/>
      <c r="J1006" s="37"/>
      <c r="K100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3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7"/>
      <c r="H1007" s="37"/>
      <c r="I1007" s="37"/>
      <c r="J1007" s="37"/>
      <c r="K1007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3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7"/>
      <c r="H1008" s="37"/>
      <c r="I1008" s="37"/>
      <c r="J1008" s="37"/>
      <c r="K1008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3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7"/>
      <c r="H1009" s="37"/>
      <c r="I1009" s="37"/>
      <c r="J1009" s="37"/>
      <c r="K1009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3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7"/>
      <c r="H1010" s="37"/>
      <c r="I1010" s="37"/>
      <c r="J1010" s="37"/>
      <c r="K1010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3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7"/>
      <c r="H1011" s="37"/>
      <c r="I1011" s="37"/>
      <c r="J1011" s="37"/>
      <c r="K1011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3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7"/>
      <c r="H1012" s="37"/>
      <c r="I1012" s="37"/>
      <c r="J1012" s="37"/>
      <c r="K1012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3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7"/>
      <c r="H1013" s="37"/>
      <c r="I1013" s="37"/>
      <c r="J1013" s="37"/>
      <c r="K1013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3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7"/>
      <c r="H1014" s="37"/>
      <c r="I1014" s="37"/>
      <c r="J1014" s="37"/>
      <c r="K1014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3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7"/>
      <c r="H1015" s="37"/>
      <c r="I1015" s="37"/>
      <c r="J1015" s="37"/>
      <c r="K1015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3">
        <f t="shared" si="16"/>
        <v>0</v>
      </c>
    </row>
    <row r="1016" spans="1:15" x14ac:dyDescent="0.2">
      <c r="A1016" s="21"/>
      <c r="B1016" s="40"/>
      <c r="C1016" s="41"/>
      <c r="D1016" s="42"/>
      <c r="E1016" s="26"/>
      <c r="F1016" s="26"/>
      <c r="G1016" s="36"/>
      <c r="H1016" s="36"/>
      <c r="I1016" s="36"/>
      <c r="J1016" s="36"/>
      <c r="K1016" s="30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30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31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32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3">
        <f t="shared" si="16"/>
        <v>0</v>
      </c>
    </row>
  </sheetData>
  <sheetProtection password="CF7A" sheet="1" objects="1" scenarios="1"/>
  <mergeCells count="29">
    <mergeCell ref="A1:D1"/>
    <mergeCell ref="F1:L1"/>
    <mergeCell ref="A2:C2"/>
    <mergeCell ref="F2:K2"/>
    <mergeCell ref="A3:C3"/>
    <mergeCell ref="F3:K3"/>
    <mergeCell ref="A4:C4"/>
    <mergeCell ref="F4:K4"/>
    <mergeCell ref="A5:C5"/>
    <mergeCell ref="F5:K5"/>
    <mergeCell ref="A6:C6"/>
    <mergeCell ref="F6:K6"/>
    <mergeCell ref="A7:C7"/>
    <mergeCell ref="F7:K7"/>
    <mergeCell ref="A8:C8"/>
    <mergeCell ref="F8:K8"/>
    <mergeCell ref="A9:C9"/>
    <mergeCell ref="F9:K9"/>
    <mergeCell ref="A10:C10"/>
    <mergeCell ref="F10:K10"/>
    <mergeCell ref="A11:N11"/>
    <mergeCell ref="A12:L12"/>
    <mergeCell ref="A13:L13"/>
    <mergeCell ref="F14:F15"/>
    <mergeCell ref="A14:A15"/>
    <mergeCell ref="B14:B15"/>
    <mergeCell ref="C14:C15"/>
    <mergeCell ref="D14:D15"/>
    <mergeCell ref="E14:E15"/>
  </mergeCells>
  <conditionalFormatting sqref="G16:G1016">
    <cfRule type="expression" dxfId="3" priority="3">
      <formula>AND(C16:C1016&gt;=150,D16:D1016&gt;=70)</formula>
    </cfRule>
  </conditionalFormatting>
  <conditionalFormatting sqref="H16:H1016">
    <cfRule type="expression" dxfId="2" priority="4">
      <formula>AND(C16:C1016&gt;=150,D16:D1016&gt;=70)</formula>
    </cfRule>
  </conditionalFormatting>
  <conditionalFormatting sqref="I16:I1016">
    <cfRule type="expression" dxfId="1" priority="1">
      <formula>AND(C16:C1016&gt;=70,D16:D1016&gt;=150)</formula>
    </cfRule>
  </conditionalFormatting>
  <conditionalFormatting sqref="J16:J1016">
    <cfRule type="expression" dxfId="0" priority="2">
      <formula>AND(C16:C1016&gt;=70,D16:D1016&gt;=150)</formula>
    </cfRule>
  </conditionalFormatting>
  <dataValidations count="6">
    <dataValidation type="list" operator="equal" allowBlank="1" showErrorMessage="1" sqref="A16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3392</v>
      </c>
      <c r="B1">
        <f>Hoja1!B16*Hoja1!C16</f>
        <v>3392</v>
      </c>
      <c r="C1">
        <f>Hoja1!B16*Hoja1!D16</f>
        <v>1660</v>
      </c>
      <c r="D1">
        <f>Hoja1!B16*Hoja1!D16</f>
        <v>1660</v>
      </c>
    </row>
    <row r="2" spans="1:4" x14ac:dyDescent="0.2">
      <c r="A2">
        <f>Hoja1!B17*Hoja1!C17</f>
        <v>1000</v>
      </c>
      <c r="B2">
        <f>Hoja1!B17*Hoja1!C17</f>
        <v>1000</v>
      </c>
      <c r="C2">
        <f>Hoja1!B17*Hoja1!D17</f>
        <v>866</v>
      </c>
      <c r="D2">
        <f>Hoja1!B17*Hoja1!D17</f>
        <v>866</v>
      </c>
    </row>
    <row r="3" spans="1:4" x14ac:dyDescent="0.2">
      <c r="A3">
        <f>Hoja1!B18*Hoja1!C18</f>
        <v>4000</v>
      </c>
      <c r="B3">
        <f>Hoja1!B18*Hoja1!C18</f>
        <v>4000</v>
      </c>
      <c r="C3">
        <f>Hoja1!B18*Hoja1!D18</f>
        <v>1660</v>
      </c>
      <c r="D3">
        <f>Hoja1!B18*Hoja1!D18</f>
        <v>1660</v>
      </c>
    </row>
    <row r="4" spans="1:4" x14ac:dyDescent="0.2">
      <c r="A4">
        <f>Hoja1!B19*Hoja1!C19</f>
        <v>1392</v>
      </c>
      <c r="B4">
        <f>Hoja1!B19*Hoja1!C19</f>
        <v>1392</v>
      </c>
      <c r="C4">
        <f>Hoja1!B19*Hoja1!D19</f>
        <v>1245</v>
      </c>
      <c r="D4">
        <f>Hoja1!B19*Hoja1!D19</f>
        <v>1245</v>
      </c>
    </row>
    <row r="5" spans="1:4" x14ac:dyDescent="0.2">
      <c r="A5">
        <f>Hoja1!B20*Hoja1!C20</f>
        <v>500</v>
      </c>
      <c r="B5">
        <f>Hoja1!B20*Hoja1!C20</f>
        <v>500</v>
      </c>
      <c r="C5">
        <f>Hoja1!B20*Hoja1!D20</f>
        <v>415</v>
      </c>
      <c r="D5">
        <f>Hoja1!B20*Hoja1!D20</f>
        <v>415</v>
      </c>
    </row>
    <row r="6" spans="1:4" x14ac:dyDescent="0.2">
      <c r="A6">
        <f>Hoja1!B21*Hoja1!C21</f>
        <v>1408</v>
      </c>
      <c r="B6">
        <f>Hoja1!B21*Hoja1!C21</f>
        <v>1408</v>
      </c>
      <c r="C6">
        <f>Hoja1!B21*Hoja1!D21</f>
        <v>866</v>
      </c>
      <c r="D6">
        <f>Hoja1!B21*Hoja1!D21</f>
        <v>866</v>
      </c>
    </row>
    <row r="7" spans="1:4" x14ac:dyDescent="0.2">
      <c r="A7">
        <f>Hoja1!B22*Hoja1!C22</f>
        <v>704</v>
      </c>
      <c r="B7">
        <f>Hoja1!B22*Hoja1!C22</f>
        <v>704</v>
      </c>
      <c r="C7">
        <f>Hoja1!B22*Hoja1!D22</f>
        <v>415</v>
      </c>
      <c r="D7">
        <f>Hoja1!B22*Hoja1!D22</f>
        <v>415</v>
      </c>
    </row>
    <row r="8" spans="1:4" x14ac:dyDescent="0.2">
      <c r="A8">
        <f>Hoja1!B23*Hoja1!C23</f>
        <v>992</v>
      </c>
      <c r="B8">
        <f>Hoja1!B23*Hoja1!C23</f>
        <v>992</v>
      </c>
      <c r="C8">
        <f>Hoja1!B23*Hoja1!D23</f>
        <v>400</v>
      </c>
      <c r="D8">
        <f>Hoja1!B23*Hoja1!D23</f>
        <v>400</v>
      </c>
    </row>
    <row r="9" spans="1:4" x14ac:dyDescent="0.2">
      <c r="A9">
        <f>Hoja1!B24*Hoja1!C24</f>
        <v>1748</v>
      </c>
      <c r="B9">
        <f>Hoja1!B24*Hoja1!C24</f>
        <v>1748</v>
      </c>
      <c r="C9">
        <f>Hoja1!B24*Hoja1!D24</f>
        <v>600</v>
      </c>
      <c r="D9">
        <f>Hoja1!B24*Hoja1!D24</f>
        <v>600</v>
      </c>
    </row>
    <row r="10" spans="1:4" x14ac:dyDescent="0.2">
      <c r="A10">
        <f>Hoja1!B25*Hoja1!C25</f>
        <v>1456</v>
      </c>
      <c r="B10">
        <f>Hoja1!B25*Hoja1!C25</f>
        <v>1456</v>
      </c>
      <c r="C10">
        <f>Hoja1!B25*Hoja1!D25</f>
        <v>600</v>
      </c>
      <c r="D10">
        <f>Hoja1!B25*Hoja1!D25</f>
        <v>600</v>
      </c>
    </row>
    <row r="11" spans="1:4" x14ac:dyDescent="0.2">
      <c r="A11">
        <f>Hoja1!B26*Hoja1!C26</f>
        <v>4788</v>
      </c>
      <c r="B11">
        <f>Hoja1!B26*Hoja1!C26</f>
        <v>4788</v>
      </c>
      <c r="C11">
        <f>Hoja1!B26*Hoja1!D26</f>
        <v>1000</v>
      </c>
      <c r="D11">
        <f>Hoja1!B26*Hoja1!D26</f>
        <v>1000</v>
      </c>
    </row>
    <row r="12" spans="1:4" x14ac:dyDescent="0.2">
      <c r="A12">
        <f>Hoja1!B27*Hoja1!C27</f>
        <v>2480</v>
      </c>
      <c r="B12">
        <f>Hoja1!B27*Hoja1!C27</f>
        <v>2480</v>
      </c>
      <c r="C12">
        <f>Hoja1!B27*Hoja1!D27</f>
        <v>1000</v>
      </c>
      <c r="D12">
        <f>Hoja1!B27*Hoja1!D27</f>
        <v>1000</v>
      </c>
    </row>
    <row r="13" spans="1:4" x14ac:dyDescent="0.2">
      <c r="A13">
        <f>Hoja1!B28*Hoja1!C28</f>
        <v>4728</v>
      </c>
      <c r="B13">
        <f>Hoja1!B28*Hoja1!C28</f>
        <v>4728</v>
      </c>
      <c r="C13">
        <f>Hoja1!B28*Hoja1!D28</f>
        <v>1150</v>
      </c>
      <c r="D13">
        <f>Hoja1!B28*Hoja1!D28</f>
        <v>1150</v>
      </c>
    </row>
    <row r="14" spans="1:4" x14ac:dyDescent="0.2">
      <c r="A14">
        <f>Hoja1!B29*Hoja1!C29</f>
        <v>2480</v>
      </c>
      <c r="B14">
        <f>Hoja1!B29*Hoja1!C29</f>
        <v>2480</v>
      </c>
      <c r="C14">
        <f>Hoja1!B29*Hoja1!D29</f>
        <v>140</v>
      </c>
      <c r="D14">
        <f>Hoja1!B29*Hoja1!D29</f>
        <v>140</v>
      </c>
    </row>
    <row r="15" spans="1:4" x14ac:dyDescent="0.2">
      <c r="A15">
        <f>Hoja1!B30*Hoja1!C30</f>
        <v>1336</v>
      </c>
      <c r="B15">
        <f>Hoja1!B30*Hoja1!C30</f>
        <v>1336</v>
      </c>
      <c r="C15">
        <f>Hoja1!B30*Hoja1!D30</f>
        <v>1030</v>
      </c>
      <c r="D15">
        <f>Hoja1!B30*Hoja1!D30</f>
        <v>1030</v>
      </c>
    </row>
    <row r="16" spans="1:4" x14ac:dyDescent="0.2">
      <c r="A16">
        <f>Hoja1!B31*Hoja1!C31</f>
        <v>920</v>
      </c>
      <c r="B16">
        <f>Hoja1!B31*Hoja1!C31</f>
        <v>920</v>
      </c>
      <c r="C16">
        <f>Hoja1!B31*Hoja1!D31</f>
        <v>140</v>
      </c>
      <c r="D16">
        <f>Hoja1!B31*Hoja1!D31</f>
        <v>140</v>
      </c>
    </row>
    <row r="17" spans="1:4" x14ac:dyDescent="0.2">
      <c r="A17">
        <f>Hoja1!B32*Hoja1!C32</f>
        <v>872</v>
      </c>
      <c r="B17">
        <f>Hoja1!B32*Hoja1!C32</f>
        <v>872</v>
      </c>
      <c r="C17">
        <f>Hoja1!B32*Hoja1!D32</f>
        <v>940</v>
      </c>
      <c r="D17">
        <f>Hoja1!B32*Hoja1!D32</f>
        <v>940</v>
      </c>
    </row>
    <row r="18" spans="1:4" x14ac:dyDescent="0.2">
      <c r="A18">
        <f>Hoja1!B33*Hoja1!C33</f>
        <v>1278</v>
      </c>
      <c r="B18">
        <f>Hoja1!B33*Hoja1!C33</f>
        <v>1278</v>
      </c>
      <c r="C18">
        <f>Hoja1!B33*Hoja1!D33</f>
        <v>940</v>
      </c>
      <c r="D18">
        <f>Hoja1!B33*Hoja1!D33</f>
        <v>940</v>
      </c>
    </row>
    <row r="19" spans="1:4" x14ac:dyDescent="0.2">
      <c r="A19">
        <f>Hoja1!B34*Hoja1!C34</f>
        <v>872</v>
      </c>
      <c r="B19">
        <f>Hoja1!B34*Hoja1!C34</f>
        <v>872</v>
      </c>
      <c r="C19">
        <f>Hoja1!B34*Hoja1!D34</f>
        <v>140</v>
      </c>
      <c r="D19">
        <f>Hoja1!B34*Hoja1!D34</f>
        <v>140</v>
      </c>
    </row>
    <row r="20" spans="1:4" x14ac:dyDescent="0.2">
      <c r="A20">
        <f>Hoja1!B35*Hoja1!C35</f>
        <v>780</v>
      </c>
      <c r="B20">
        <f>Hoja1!B35*Hoja1!C35</f>
        <v>780</v>
      </c>
      <c r="C20">
        <f>Hoja1!B35*Hoja1!D35</f>
        <v>140</v>
      </c>
      <c r="D20">
        <f>Hoja1!B35*Hoja1!D35</f>
        <v>140</v>
      </c>
    </row>
    <row r="21" spans="1:4" x14ac:dyDescent="0.2">
      <c r="A21">
        <f>Hoja1!B36*Hoja1!C36</f>
        <v>666</v>
      </c>
      <c r="B21">
        <f>Hoja1!B36*Hoja1!C36</f>
        <v>666</v>
      </c>
      <c r="C21">
        <f>Hoja1!B36*Hoja1!D36</f>
        <v>1296</v>
      </c>
      <c r="D21">
        <f>Hoja1!B36*Hoja1!D36</f>
        <v>1296</v>
      </c>
    </row>
    <row r="22" spans="1:4" x14ac:dyDescent="0.2">
      <c r="A22">
        <f>Hoja1!B37*Hoja1!C37</f>
        <v>2238</v>
      </c>
      <c r="B22">
        <f>Hoja1!B37*Hoja1!C37</f>
        <v>2238</v>
      </c>
      <c r="C22">
        <f>Hoja1!B37*Hoja1!D37</f>
        <v>900</v>
      </c>
      <c r="D22">
        <f>Hoja1!B37*Hoja1!D37</f>
        <v>900</v>
      </c>
    </row>
    <row r="23" spans="1:4" x14ac:dyDescent="0.2">
      <c r="A23">
        <f>Hoja1!B38*Hoja1!C38</f>
        <v>2484</v>
      </c>
      <c r="B23">
        <f>Hoja1!B38*Hoja1!C38</f>
        <v>2484</v>
      </c>
      <c r="C23">
        <f>Hoja1!B38*Hoja1!D38</f>
        <v>900</v>
      </c>
      <c r="D23">
        <f>Hoja1!B38*Hoja1!D38</f>
        <v>900</v>
      </c>
    </row>
    <row r="24" spans="1:4" x14ac:dyDescent="0.2">
      <c r="A24">
        <f>Hoja1!B39*Hoja1!C39</f>
        <v>745</v>
      </c>
      <c r="B24">
        <f>Hoja1!B39*Hoja1!C39</f>
        <v>745</v>
      </c>
      <c r="C24">
        <f>Hoja1!B39*Hoja1!D39</f>
        <v>475</v>
      </c>
      <c r="D24">
        <f>Hoja1!B39*Hoja1!D39</f>
        <v>475</v>
      </c>
    </row>
    <row r="25" spans="1:4" x14ac:dyDescent="0.2">
      <c r="A25">
        <f>Hoja1!B40*Hoja1!C40</f>
        <v>2171</v>
      </c>
      <c r="B25">
        <f>Hoja1!B40*Hoja1!C40</f>
        <v>2171</v>
      </c>
      <c r="C25">
        <f>Hoja1!B40*Hoja1!D40</f>
        <v>715</v>
      </c>
      <c r="D25">
        <f>Hoja1!B40*Hoja1!D40</f>
        <v>715</v>
      </c>
    </row>
    <row r="26" spans="1:4" x14ac:dyDescent="0.2">
      <c r="A26">
        <f>Hoja1!B41*Hoja1!C41</f>
        <v>4344</v>
      </c>
      <c r="B26">
        <f>Hoja1!B41*Hoja1!C41</f>
        <v>4344</v>
      </c>
      <c r="C26">
        <f>Hoja1!B41*Hoja1!D41</f>
        <v>1200</v>
      </c>
      <c r="D26">
        <f>Hoja1!B41*Hoja1!D41</f>
        <v>1200</v>
      </c>
    </row>
    <row r="27" spans="1:4" x14ac:dyDescent="0.2">
      <c r="A27">
        <f>Hoja1!B42*Hoja1!C42</f>
        <v>1400</v>
      </c>
      <c r="B27">
        <f>Hoja1!B42*Hoja1!C42</f>
        <v>1400</v>
      </c>
      <c r="C27">
        <f>Hoja1!B42*Hoja1!D42</f>
        <v>1200</v>
      </c>
      <c r="D27">
        <f>Hoja1!B42*Hoja1!D42</f>
        <v>1200</v>
      </c>
    </row>
    <row r="28" spans="1:4" x14ac:dyDescent="0.2">
      <c r="A28">
        <f>Hoja1!B43*Hoja1!C43</f>
        <v>0</v>
      </c>
      <c r="B28">
        <f>Hoja1!B43*Hoja1!C43</f>
        <v>0</v>
      </c>
      <c r="C28">
        <f>Hoja1!B43*Hoja1!D43</f>
        <v>0</v>
      </c>
      <c r="D28">
        <f>Hoja1!B43*Hoja1!D43</f>
        <v>0</v>
      </c>
    </row>
    <row r="29" spans="1:4" x14ac:dyDescent="0.2">
      <c r="A29">
        <f>Hoja1!B44*Hoja1!C44</f>
        <v>0</v>
      </c>
      <c r="B29">
        <f>Hoja1!B44*Hoja1!C44</f>
        <v>0</v>
      </c>
      <c r="C29">
        <f>Hoja1!B44*Hoja1!D44</f>
        <v>0</v>
      </c>
      <c r="D29">
        <f>Hoja1!B44*Hoja1!D44</f>
        <v>0</v>
      </c>
    </row>
    <row r="30" spans="1:4" x14ac:dyDescent="0.2">
      <c r="A30">
        <f>Hoja1!B45*Hoja1!C45</f>
        <v>0</v>
      </c>
      <c r="B30">
        <f>Hoja1!B45*Hoja1!C45</f>
        <v>0</v>
      </c>
      <c r="C30">
        <f>Hoja1!B45*Hoja1!D45</f>
        <v>0</v>
      </c>
      <c r="D30">
        <f>Hoja1!B45*Hoja1!D45</f>
        <v>0</v>
      </c>
    </row>
    <row r="31" spans="1:4" x14ac:dyDescent="0.2">
      <c r="A31">
        <f>Hoja1!B46*Hoja1!C46</f>
        <v>0</v>
      </c>
      <c r="B31">
        <f>Hoja1!B46*Hoja1!C46</f>
        <v>0</v>
      </c>
      <c r="C31">
        <f>Hoja1!B46*Hoja1!D46</f>
        <v>0</v>
      </c>
      <c r="D31">
        <f>Hoja1!B46*Hoja1!D46</f>
        <v>0</v>
      </c>
    </row>
    <row r="32" spans="1:4" x14ac:dyDescent="0.2">
      <c r="A32">
        <f>Hoja1!B47*Hoja1!C47</f>
        <v>0</v>
      </c>
      <c r="B32">
        <f>Hoja1!B47*Hoja1!C47</f>
        <v>0</v>
      </c>
      <c r="C32">
        <f>Hoja1!B47*Hoja1!D47</f>
        <v>0</v>
      </c>
      <c r="D32">
        <f>Hoja1!B47*Hoja1!D47</f>
        <v>0</v>
      </c>
    </row>
    <row r="33" spans="1:4" x14ac:dyDescent="0.2">
      <c r="A33">
        <f>Hoja1!B48*Hoja1!C48</f>
        <v>0</v>
      </c>
      <c r="B33">
        <f>Hoja1!B48*Hoja1!C48</f>
        <v>0</v>
      </c>
      <c r="C33">
        <f>Hoja1!B48*Hoja1!D48</f>
        <v>0</v>
      </c>
      <c r="D33">
        <f>Hoja1!B48*Hoja1!D48</f>
        <v>0</v>
      </c>
    </row>
    <row r="34" spans="1:4" x14ac:dyDescent="0.2">
      <c r="A34">
        <f>Hoja1!B49*Hoja1!C49</f>
        <v>0</v>
      </c>
      <c r="B34">
        <f>Hoja1!B49*Hoja1!C49</f>
        <v>0</v>
      </c>
      <c r="C34">
        <f>Hoja1!B49*Hoja1!D49</f>
        <v>0</v>
      </c>
      <c r="D34">
        <f>Hoja1!B49*Hoja1!D49</f>
        <v>0</v>
      </c>
    </row>
    <row r="35" spans="1:4" x14ac:dyDescent="0.2">
      <c r="A35">
        <f>Hoja1!B50*Hoja1!C50</f>
        <v>0</v>
      </c>
      <c r="B35">
        <f>Hoja1!B50*Hoja1!C50</f>
        <v>0</v>
      </c>
      <c r="C35">
        <f>Hoja1!B50*Hoja1!D50</f>
        <v>0</v>
      </c>
      <c r="D35">
        <f>Hoja1!B50*Hoja1!D50</f>
        <v>0</v>
      </c>
    </row>
    <row r="36" spans="1:4" x14ac:dyDescent="0.2">
      <c r="A36">
        <f>Hoja1!B51*Hoja1!C51</f>
        <v>0</v>
      </c>
      <c r="B36">
        <f>Hoja1!B51*Hoja1!C51</f>
        <v>0</v>
      </c>
      <c r="C36">
        <f>Hoja1!B51*Hoja1!D51</f>
        <v>0</v>
      </c>
      <c r="D36">
        <f>Hoja1!B51*Hoja1!D51</f>
        <v>0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2025-08-19T21:04:59Z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