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nico amigo gaston\"/>
    </mc:Choice>
  </mc:AlternateContent>
  <xr:revisionPtr revIDLastSave="0" documentId="13_ncr:1_{70E406F7-361B-42D3-83BE-8C2BFE78B878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R23" i="1"/>
  <c r="O23" i="1"/>
  <c r="S22" i="1"/>
  <c r="O22" i="1"/>
  <c r="S21" i="1"/>
  <c r="O21" i="1"/>
  <c r="S20" i="1"/>
  <c r="O20" i="1"/>
  <c r="S19" i="1"/>
  <c r="O19" i="1"/>
  <c r="S18" i="1"/>
  <c r="R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E7" i="1"/>
  <c r="D7" i="1"/>
  <c r="R20" i="1" s="1"/>
  <c r="L6" i="1"/>
  <c r="D6" i="1"/>
  <c r="R19" i="1" s="1"/>
  <c r="L5" i="1"/>
  <c r="E5" i="1"/>
  <c r="D5" i="1"/>
  <c r="L4" i="1"/>
  <c r="D4" i="1"/>
  <c r="L3" i="1"/>
  <c r="D3" i="1"/>
  <c r="L46" i="1" l="1"/>
  <c r="N42" i="1"/>
  <c r="L174" i="1"/>
  <c r="L76" i="1"/>
  <c r="K17" i="1"/>
  <c r="N65" i="1"/>
  <c r="N165" i="1"/>
  <c r="K240" i="1"/>
  <c r="L114" i="1"/>
  <c r="M28" i="1"/>
  <c r="N60" i="1"/>
  <c r="L100" i="1"/>
  <c r="M151" i="1"/>
  <c r="K160" i="1"/>
  <c r="K236" i="1"/>
  <c r="K22" i="1"/>
  <c r="N29" i="1"/>
  <c r="L33" i="1"/>
  <c r="L81" i="1"/>
  <c r="M97" i="1"/>
  <c r="K106" i="1"/>
  <c r="L157" i="1"/>
  <c r="N248" i="1"/>
  <c r="E3" i="1"/>
  <c r="M20" i="1"/>
  <c r="N47" i="1"/>
  <c r="L58" i="1"/>
  <c r="N111" i="1"/>
  <c r="L143" i="1"/>
  <c r="N162" i="1"/>
  <c r="K171" i="1"/>
  <c r="N180" i="1"/>
  <c r="M190" i="1"/>
  <c r="N218" i="1"/>
  <c r="L228" i="1"/>
  <c r="M16" i="1"/>
  <c r="N30" i="1"/>
  <c r="L40" i="1"/>
  <c r="L63" i="1"/>
  <c r="N78" i="1"/>
  <c r="L103" i="1"/>
  <c r="L154" i="1"/>
  <c r="N21" i="1"/>
  <c r="L45" i="1"/>
  <c r="N83" i="1"/>
  <c r="N108" i="1"/>
  <c r="K117" i="1"/>
  <c r="M140" i="1"/>
  <c r="L168" i="1"/>
  <c r="N177" i="1"/>
  <c r="L187" i="1"/>
  <c r="M215" i="1"/>
  <c r="K225" i="1"/>
  <c r="N20" i="1"/>
  <c r="K23" i="1"/>
  <c r="K26" i="1"/>
  <c r="L28" i="1"/>
  <c r="K33" i="1"/>
  <c r="M35" i="1"/>
  <c r="K38" i="1"/>
  <c r="M40" i="1"/>
  <c r="K51" i="1"/>
  <c r="M53" i="1"/>
  <c r="K56" i="1"/>
  <c r="M58" i="1"/>
  <c r="K69" i="1"/>
  <c r="M71" i="1"/>
  <c r="K74" i="1"/>
  <c r="M76" i="1"/>
  <c r="K87" i="1"/>
  <c r="M89" i="1"/>
  <c r="K92" i="1"/>
  <c r="K95" i="1"/>
  <c r="N97" i="1"/>
  <c r="M100" i="1"/>
  <c r="M126" i="1"/>
  <c r="L129" i="1"/>
  <c r="K132" i="1"/>
  <c r="N137" i="1"/>
  <c r="N140" i="1"/>
  <c r="M143" i="1"/>
  <c r="K146" i="1"/>
  <c r="K149" i="1"/>
  <c r="N151" i="1"/>
  <c r="M154" i="1"/>
  <c r="L184" i="1"/>
  <c r="M187" i="1"/>
  <c r="K194" i="1"/>
  <c r="K197" i="1"/>
  <c r="M200" i="1"/>
  <c r="N203" i="1"/>
  <c r="K210" i="1"/>
  <c r="L213" i="1"/>
  <c r="N266" i="1"/>
  <c r="L323" i="1"/>
  <c r="N392" i="1"/>
  <c r="N516" i="1"/>
  <c r="N35" i="1"/>
  <c r="N48" i="1"/>
  <c r="L51" i="1"/>
  <c r="N53" i="1"/>
  <c r="L64" i="1"/>
  <c r="N66" i="1"/>
  <c r="L69" i="1"/>
  <c r="N71" i="1"/>
  <c r="L82" i="1"/>
  <c r="N84" i="1"/>
  <c r="L87" i="1"/>
  <c r="N89" i="1"/>
  <c r="M104" i="1"/>
  <c r="L107" i="1"/>
  <c r="M115" i="1"/>
  <c r="L118" i="1"/>
  <c r="L121" i="1"/>
  <c r="K124" i="1"/>
  <c r="N126" i="1"/>
  <c r="N129" i="1"/>
  <c r="L132" i="1"/>
  <c r="K135" i="1"/>
  <c r="M158" i="1"/>
  <c r="L161" i="1"/>
  <c r="M169" i="1"/>
  <c r="M172" i="1"/>
  <c r="M197" i="1"/>
  <c r="N200" i="1"/>
  <c r="K207" i="1"/>
  <c r="L210" i="1"/>
  <c r="N213" i="1"/>
  <c r="N216" i="1"/>
  <c r="L223" i="1"/>
  <c r="M226" i="1"/>
  <c r="N237" i="1"/>
  <c r="M289" i="1"/>
  <c r="R17" i="1"/>
  <c r="K16" i="1"/>
  <c r="L17" i="1"/>
  <c r="N19" i="1"/>
  <c r="L22" i="1"/>
  <c r="K27" i="1"/>
  <c r="N28" i="1"/>
  <c r="K39" i="1"/>
  <c r="M41" i="1"/>
  <c r="K44" i="1"/>
  <c r="M46" i="1"/>
  <c r="K57" i="1"/>
  <c r="M59" i="1"/>
  <c r="K62" i="1"/>
  <c r="M64" i="1"/>
  <c r="K75" i="1"/>
  <c r="M77" i="1"/>
  <c r="K80" i="1"/>
  <c r="M82" i="1"/>
  <c r="L93" i="1"/>
  <c r="K96" i="1"/>
  <c r="N101" i="1"/>
  <c r="N104" i="1"/>
  <c r="M107" i="1"/>
  <c r="K110" i="1"/>
  <c r="K113" i="1"/>
  <c r="N115" i="1"/>
  <c r="M118" i="1"/>
  <c r="M144" i="1"/>
  <c r="L147" i="1"/>
  <c r="K150" i="1"/>
  <c r="N155" i="1"/>
  <c r="N158" i="1"/>
  <c r="M161" i="1"/>
  <c r="K164" i="1"/>
  <c r="K167" i="1"/>
  <c r="N169" i="1"/>
  <c r="K176" i="1"/>
  <c r="K179" i="1"/>
  <c r="M182" i="1"/>
  <c r="N185" i="1"/>
  <c r="K192" i="1"/>
  <c r="L195" i="1"/>
  <c r="L220" i="1"/>
  <c r="M223" i="1"/>
  <c r="K230" i="1"/>
  <c r="K234" i="1"/>
  <c r="K242" i="1"/>
  <c r="L246" i="1"/>
  <c r="K254" i="1"/>
  <c r="L263" i="1"/>
  <c r="L377" i="1"/>
  <c r="K471" i="1"/>
  <c r="L16" i="1"/>
  <c r="L21" i="1"/>
  <c r="M22" i="1"/>
  <c r="L27" i="1"/>
  <c r="L34" i="1"/>
  <c r="N36" i="1"/>
  <c r="L39" i="1"/>
  <c r="N41" i="1"/>
  <c r="L52" i="1"/>
  <c r="N54" i="1"/>
  <c r="L57" i="1"/>
  <c r="N59" i="1"/>
  <c r="L70" i="1"/>
  <c r="N72" i="1"/>
  <c r="L75" i="1"/>
  <c r="N77" i="1"/>
  <c r="L88" i="1"/>
  <c r="N90" i="1"/>
  <c r="N93" i="1"/>
  <c r="L96" i="1"/>
  <c r="K99" i="1"/>
  <c r="M122" i="1"/>
  <c r="L125" i="1"/>
  <c r="M133" i="1"/>
  <c r="L136" i="1"/>
  <c r="L139" i="1"/>
  <c r="K142" i="1"/>
  <c r="N144" i="1"/>
  <c r="N147" i="1"/>
  <c r="L150" i="1"/>
  <c r="K153" i="1"/>
  <c r="M179" i="1"/>
  <c r="N182" i="1"/>
  <c r="K189" i="1"/>
  <c r="L192" i="1"/>
  <c r="N195" i="1"/>
  <c r="N198" i="1"/>
  <c r="L205" i="1"/>
  <c r="M208" i="1"/>
  <c r="K251" i="1"/>
  <c r="K259" i="1"/>
  <c r="M21" i="1"/>
  <c r="M27" i="1"/>
  <c r="M29" i="1"/>
  <c r="K32" i="1"/>
  <c r="M34" i="1"/>
  <c r="K45" i="1"/>
  <c r="M47" i="1"/>
  <c r="K50" i="1"/>
  <c r="M52" i="1"/>
  <c r="K63" i="1"/>
  <c r="M65" i="1"/>
  <c r="K68" i="1"/>
  <c r="M70" i="1"/>
  <c r="K81" i="1"/>
  <c r="M83" i="1"/>
  <c r="K86" i="1"/>
  <c r="M88" i="1"/>
  <c r="M108" i="1"/>
  <c r="L111" i="1"/>
  <c r="K114" i="1"/>
  <c r="N119" i="1"/>
  <c r="N122" i="1"/>
  <c r="M125" i="1"/>
  <c r="K128" i="1"/>
  <c r="K131" i="1"/>
  <c r="N133" i="1"/>
  <c r="M136" i="1"/>
  <c r="M162" i="1"/>
  <c r="L165" i="1"/>
  <c r="K168" i="1"/>
  <c r="K174" i="1"/>
  <c r="L177" i="1"/>
  <c r="L202" i="1"/>
  <c r="M205" i="1"/>
  <c r="K212" i="1"/>
  <c r="K215" i="1"/>
  <c r="M218" i="1"/>
  <c r="N221" i="1"/>
  <c r="K228" i="1"/>
  <c r="N231" i="1"/>
  <c r="N243" i="1"/>
  <c r="N251" i="1"/>
  <c r="K269" i="1"/>
  <c r="N338" i="1"/>
  <c r="M256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<sst xmlns="http://schemas.openxmlformats.org/spreadsheetml/2006/main" count="67" uniqueCount="54">
  <si>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</si>
  <si>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</si>
  <si>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</si>
  <si>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</si>
  <si>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</si>
  <si>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</si>
  <si>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</si>
  <si>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</si>
  <si>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</si>
  <si>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</si>
  <si>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</si>
  <si>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</si>
  <si>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</si>
  <si>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</si>
  <si>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</si>
  <si>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</si>
  <si>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</si>
  <si>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</si>
  <si>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</si>
  <si>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</si>
  <si>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</si>
  <si>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</si>
  <si>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</si>
  <si>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</si>
  <si>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</si>
  <si>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</si>
  <si>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 xml:space="preserve">   Cantidad total de canto en metros lineales + % de descarte</t>
  </si>
  <si>
    <t>base alace2</t>
  </si>
  <si>
    <t>puerta alace 2</t>
  </si>
  <si>
    <t>base alace 1</t>
  </si>
  <si>
    <t>lat alace 1</t>
  </si>
  <si>
    <t>lat alace 3</t>
  </si>
  <si>
    <t>base alace 3</t>
  </si>
  <si>
    <t>puerta ala 3</t>
  </si>
  <si>
    <t>estane ala 3</t>
  </si>
  <si>
    <t>estane ala 2</t>
  </si>
  <si>
    <t>lat alace 2</t>
  </si>
  <si>
    <t>puerta alace 1</t>
  </si>
  <si>
    <t>base alace 4</t>
  </si>
  <si>
    <t>puerta alace 4</t>
  </si>
  <si>
    <t>lat alace 4</t>
  </si>
  <si>
    <t>040 Ceniza</t>
  </si>
  <si>
    <t>base ala 5</t>
  </si>
  <si>
    <t>lat ala 5</t>
  </si>
  <si>
    <t>puerta ala 5</t>
  </si>
  <si>
    <t>estante 5</t>
  </si>
  <si>
    <t>lat bajo me</t>
  </si>
  <si>
    <t>tapa cajon</t>
  </si>
  <si>
    <t>base cajon</t>
  </si>
  <si>
    <t>soporte</t>
  </si>
  <si>
    <t>lat cajon</t>
  </si>
  <si>
    <t>pueras bajo me</t>
  </si>
  <si>
    <t>base bajo me</t>
  </si>
  <si>
    <t>estabte bajo 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</si>
</sst>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/>
    <xf numFmtId="0" fontId="1" fillId="2" borderId="1">
      <protection locked="0" hidden="1"/>
    </xf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8" fillId="3" borderId="2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2">
    <cellStyle name="Normal" xfId="0" builtinId="0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zoomScale="130" zoomScaleNormal="130" workbookViewId="0">
      <selection activeCell="A47" sqref="A47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3" t="s">
        <v>0</v>
      </c>
      <c r="B1" s="43"/>
      <c r="C1" s="43"/>
      <c r="D1" s="43"/>
      <c r="E1" s="2"/>
      <c r="F1" s="43" t="s">
        <v>1</v>
      </c>
      <c r="G1" s="43"/>
      <c r="H1" s="43"/>
      <c r="I1" s="43"/>
      <c r="J1" s="43"/>
      <c r="K1" s="43"/>
      <c r="L1" s="43"/>
      <c r="O1" s="1"/>
      <c r="P1" s="1"/>
    </row>
    <row r="2" spans="1:20" ht="17.25" customHeight="1" x14ac:dyDescent="0.2">
      <c r="A2" s="44" t="s">
        <v>2</v>
      </c>
      <c r="B2" s="44"/>
      <c r="C2" s="44"/>
      <c r="D2" s="3" t="s">
        <v>3</v>
      </c>
      <c r="E2" s="4"/>
      <c r="F2" s="45" t="s">
        <v>4</v>
      </c>
      <c r="G2" s="45"/>
      <c r="H2" s="45"/>
      <c r="I2" s="45"/>
      <c r="J2" s="45"/>
      <c r="K2" s="45"/>
      <c r="L2" s="3" t="s">
        <v>5</v>
      </c>
      <c r="M2"/>
      <c r="O2" s="1"/>
      <c r="P2" s="1"/>
      <c r="Q2" s="1"/>
    </row>
    <row r="3" spans="1:20" ht="14.1" customHeight="1" x14ac:dyDescent="0.25">
      <c r="A3" s="46" t="s">
        <v>41</v>
      </c>
      <c r="B3" s="46"/>
      <c r="C3" s="46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1550.85</v>
      </c>
      <c r="F3" s="47">
        <v>9117173</v>
      </c>
      <c r="G3" s="47"/>
      <c r="H3" s="47"/>
      <c r="I3" s="47"/>
      <c r="J3" s="47"/>
      <c r="K3" s="47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6"/>
      <c r="B4" s="46"/>
      <c r="C4" s="46"/>
      <c r="D4" s="5">
        <f>IF(A4="",0,2)</f>
        <v>0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0</v>
      </c>
      <c r="F4" s="48"/>
      <c r="G4" s="48"/>
      <c r="H4" s="48"/>
      <c r="I4" s="48"/>
      <c r="J4" s="48"/>
      <c r="K4" s="48"/>
      <c r="L4" s="7">
        <f>IF(F4="",0,2)</f>
        <v>0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6"/>
      <c r="B5" s="46"/>
      <c r="C5" s="46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8"/>
      <c r="G5" s="48"/>
      <c r="H5" s="48"/>
      <c r="I5" s="48"/>
      <c r="J5" s="48"/>
      <c r="K5" s="48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6"/>
      <c r="B6" s="46"/>
      <c r="C6" s="46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8"/>
      <c r="G6" s="48"/>
      <c r="H6" s="48"/>
      <c r="I6" s="48"/>
      <c r="J6" s="48"/>
      <c r="K6" s="48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6"/>
      <c r="B7" s="46"/>
      <c r="C7" s="46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8"/>
      <c r="G7" s="48"/>
      <c r="H7" s="48"/>
      <c r="I7" s="48"/>
      <c r="J7" s="48"/>
      <c r="K7" s="48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6"/>
      <c r="B8" s="46"/>
      <c r="C8" s="46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8"/>
      <c r="G8" s="48"/>
      <c r="H8" s="48"/>
      <c r="I8" s="48"/>
      <c r="J8" s="48"/>
      <c r="K8" s="48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6"/>
      <c r="B9" s="46"/>
      <c r="C9" s="46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8"/>
      <c r="G9" s="48"/>
      <c r="H9" s="48"/>
      <c r="I9" s="48"/>
      <c r="J9" s="48"/>
      <c r="K9" s="48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6"/>
      <c r="B10" s="46"/>
      <c r="C10" s="46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8"/>
      <c r="G10" s="48"/>
      <c r="H10" s="48"/>
      <c r="I10" s="48"/>
      <c r="J10" s="48"/>
      <c r="K10" s="48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9" t="s">
        <v>6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</row>
    <row r="12" spans="1:20" ht="27.75" x14ac:dyDescent="0.2">
      <c r="A12" s="43" t="s">
        <v>7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11"/>
      <c r="N12" s="11"/>
    </row>
    <row r="13" spans="1:20" ht="41.1" customHeight="1" x14ac:dyDescent="0.2">
      <c r="A13" s="50" t="s">
        <v>8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12"/>
      <c r="N13" s="11"/>
    </row>
    <row r="14" spans="1:20" ht="15" x14ac:dyDescent="0.25">
      <c r="A14" s="51" t="s">
        <v>9</v>
      </c>
      <c r="B14" s="51" t="s">
        <v>10</v>
      </c>
      <c r="C14" s="51" t="s">
        <v>11</v>
      </c>
      <c r="D14" s="51" t="s">
        <v>12</v>
      </c>
      <c r="E14" s="51" t="s">
        <v>13</v>
      </c>
      <c r="F14" s="51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51"/>
      <c r="B15" s="51"/>
      <c r="C15" s="51"/>
      <c r="D15" s="51"/>
      <c r="E15" s="51"/>
      <c r="F15" s="51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71.937600000000018</v>
      </c>
      <c r="R15" s="19" t="s">
        <v>24</v>
      </c>
      <c r="S15" s="20" t="s">
        <v>25</v>
      </c>
    </row>
    <row r="16" spans="1:20" ht="15.75" x14ac:dyDescent="0.25">
      <c r="A16" s="21">
        <v>9117173</v>
      </c>
      <c r="B16" s="22">
        <v>2</v>
      </c>
      <c r="C16" s="23">
        <v>935</v>
      </c>
      <c r="D16" s="24">
        <v>332</v>
      </c>
      <c r="E16" s="25" t="s">
        <v>32</v>
      </c>
      <c r="F16" s="26"/>
      <c r="G16" s="27">
        <v>1</v>
      </c>
      <c r="H16" s="28"/>
      <c r="I16" s="28">
        <v>1</v>
      </c>
      <c r="J16" s="29">
        <v>1</v>
      </c>
      <c r="K1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Ceniza</v>
      </c>
      <c r="L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040 Ceniza</v>
      </c>
      <c r="N16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040 Ceniza</v>
      </c>
      <c r="O16" s="33">
        <f t="shared" ref="O16:O79" si="0">(IF(G16&gt;0,C16,0)+IF(H16&gt;0,C16,0)+IF(I16&gt;0,D16,0)+IF(J16&gt;0,D16,0))*B16/1000</f>
        <v>3.198</v>
      </c>
      <c r="Q16">
        <v>1</v>
      </c>
      <c r="R16" s="34">
        <f>((SUMIF(G16:G1016,D3,Hoja3!A1:A1001)+SUMIF(H16:H1016,D3,Hoja3!B1:B1001)+SUMIF(I16:I1016,D3,Hoja3!C1:C1001)+SUMIF(J16:J1016,D3,Hoja3!D1:D1001))/1000)*1.05</f>
        <v>71.937600000000003</v>
      </c>
      <c r="S16" s="35" t="str">
        <f t="shared" ref="S16:S23" si="1">A3</f>
        <v>040 Ceniza</v>
      </c>
    </row>
    <row r="17" spans="1:19" ht="15.75" x14ac:dyDescent="0.25">
      <c r="A17" s="21">
        <v>9117173</v>
      </c>
      <c r="B17" s="22">
        <v>2</v>
      </c>
      <c r="C17" s="23">
        <v>598</v>
      </c>
      <c r="D17" s="24">
        <v>332</v>
      </c>
      <c r="E17" s="25" t="s">
        <v>31</v>
      </c>
      <c r="F17" s="25"/>
      <c r="G17" s="36">
        <v>1</v>
      </c>
      <c r="H17" s="36">
        <v>1</v>
      </c>
      <c r="I17" s="36"/>
      <c r="J17" s="36"/>
      <c r="K1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Ceniza</v>
      </c>
      <c r="L17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040 Ceniza</v>
      </c>
      <c r="M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" s="33">
        <f t="shared" si="0"/>
        <v>2.3919999999999999</v>
      </c>
      <c r="Q17">
        <v>2</v>
      </c>
      <c r="R17" s="34">
        <f>((SUMIF(G16:G1016,D4,Hoja3!A1:A1001)+SUMIF(H16:H1016,D4,Hoja3!B1:B1001)+SUMIF(I16:I1016,D4,Hoja3!C1:C1001)+SUMIF(J16:J1016,D4,Hoja3!D1:D1001))/1000)*1.05</f>
        <v>0</v>
      </c>
      <c r="S17" s="35">
        <f t="shared" si="1"/>
        <v>0</v>
      </c>
    </row>
    <row r="18" spans="1:19" ht="15.75" x14ac:dyDescent="0.25">
      <c r="A18" s="21">
        <v>9117173</v>
      </c>
      <c r="B18" s="22">
        <v>1</v>
      </c>
      <c r="C18" s="23">
        <v>899</v>
      </c>
      <c r="D18" s="24">
        <v>332</v>
      </c>
      <c r="E18" s="25" t="s">
        <v>34</v>
      </c>
      <c r="F18" s="25"/>
      <c r="G18" s="36">
        <v>1</v>
      </c>
      <c r="H18" s="36">
        <v>1</v>
      </c>
      <c r="I18" s="36"/>
      <c r="J18" s="36"/>
      <c r="K1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Ceniza</v>
      </c>
      <c r="L18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040 Ceniza</v>
      </c>
      <c r="M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3">
        <f t="shared" si="0"/>
        <v>1.798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21">
        <v>9117173</v>
      </c>
      <c r="B19" s="22">
        <v>2</v>
      </c>
      <c r="C19" s="23">
        <v>648</v>
      </c>
      <c r="D19" s="24">
        <v>463</v>
      </c>
      <c r="E19" s="25" t="s">
        <v>33</v>
      </c>
      <c r="F19" s="25"/>
      <c r="G19" s="36">
        <v>1</v>
      </c>
      <c r="H19" s="36">
        <v>1</v>
      </c>
      <c r="I19" s="36">
        <v>1</v>
      </c>
      <c r="J19" s="36">
        <v>1</v>
      </c>
      <c r="K1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Ceniza</v>
      </c>
      <c r="L19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040 Ceniza</v>
      </c>
      <c r="M19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040 Ceniza</v>
      </c>
      <c r="N19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040 Ceniza</v>
      </c>
      <c r="O19" s="33">
        <f t="shared" si="0"/>
        <v>4.444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21">
        <v>9117173</v>
      </c>
      <c r="B20" s="22">
        <v>2</v>
      </c>
      <c r="C20" s="23">
        <v>600</v>
      </c>
      <c r="D20" s="24">
        <v>332</v>
      </c>
      <c r="E20" s="25" t="s">
        <v>27</v>
      </c>
      <c r="F20" s="25"/>
      <c r="G20" s="36">
        <v>1</v>
      </c>
      <c r="H20" s="36"/>
      <c r="I20" s="36">
        <v>1</v>
      </c>
      <c r="J20" s="36"/>
      <c r="K2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Ceniza</v>
      </c>
      <c r="L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040 Ceniza</v>
      </c>
      <c r="N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" s="33">
        <f t="shared" si="0"/>
        <v>1.8640000000000001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21">
        <v>9117173</v>
      </c>
      <c r="B21" s="22">
        <v>1</v>
      </c>
      <c r="C21" s="23">
        <v>564</v>
      </c>
      <c r="D21" s="24">
        <v>332</v>
      </c>
      <c r="E21" s="25" t="s">
        <v>35</v>
      </c>
      <c r="F21" s="25"/>
      <c r="G21" s="37">
        <v>1</v>
      </c>
      <c r="H21" s="37"/>
      <c r="I21" s="37"/>
      <c r="J21" s="37"/>
      <c r="K2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Ceniza</v>
      </c>
      <c r="L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" s="33">
        <f t="shared" si="0"/>
        <v>0.56399999999999995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21">
        <v>9117173</v>
      </c>
      <c r="B22" s="22">
        <v>2</v>
      </c>
      <c r="C22" s="23">
        <v>510</v>
      </c>
      <c r="D22" s="24">
        <v>296</v>
      </c>
      <c r="E22" s="25" t="s">
        <v>28</v>
      </c>
      <c r="F22" s="25"/>
      <c r="G22" s="36">
        <v>1</v>
      </c>
      <c r="H22" s="36">
        <v>1</v>
      </c>
      <c r="I22" s="36">
        <v>1</v>
      </c>
      <c r="J22" s="36">
        <v>1</v>
      </c>
      <c r="K2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Ceniza</v>
      </c>
      <c r="L22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040 Ceniza</v>
      </c>
      <c r="M22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040 Ceniza</v>
      </c>
      <c r="N22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040 Ceniza</v>
      </c>
      <c r="O22" s="33">
        <f t="shared" si="0"/>
        <v>3.2240000000000002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21">
        <v>9117173</v>
      </c>
      <c r="B23" s="22">
        <v>2</v>
      </c>
      <c r="C23" s="23">
        <v>460</v>
      </c>
      <c r="D23" s="24">
        <v>332</v>
      </c>
      <c r="E23" s="25" t="s">
        <v>36</v>
      </c>
      <c r="F23" s="25"/>
      <c r="G23" s="37">
        <v>1</v>
      </c>
      <c r="H23" s="37">
        <v>1</v>
      </c>
      <c r="I23" s="37"/>
      <c r="J23" s="37"/>
      <c r="K2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Ceniza</v>
      </c>
      <c r="L23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040 Ceniza</v>
      </c>
      <c r="M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" s="33">
        <f t="shared" si="0"/>
        <v>1.84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21">
        <v>9117173</v>
      </c>
      <c r="B24" s="22">
        <v>2</v>
      </c>
      <c r="C24" s="23">
        <v>690</v>
      </c>
      <c r="D24" s="24">
        <v>332</v>
      </c>
      <c r="E24" s="25" t="s">
        <v>29</v>
      </c>
      <c r="F24" s="25"/>
      <c r="G24" s="37">
        <v>1</v>
      </c>
      <c r="H24" s="37"/>
      <c r="I24" s="37">
        <v>1</v>
      </c>
      <c r="J24" s="37"/>
      <c r="K2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Ceniza</v>
      </c>
      <c r="L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040 Ceniza</v>
      </c>
      <c r="N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" s="33">
        <f t="shared" si="0"/>
        <v>2.044</v>
      </c>
      <c r="R24" s="38">
        <f>SUM(R16:R23)</f>
        <v>71.937600000000003</v>
      </c>
      <c r="S24" s="39" t="s">
        <v>26</v>
      </c>
    </row>
    <row r="25" spans="1:19" x14ac:dyDescent="0.2">
      <c r="A25" s="21">
        <v>9117173</v>
      </c>
      <c r="B25" s="22">
        <v>2</v>
      </c>
      <c r="C25" s="23">
        <v>341</v>
      </c>
      <c r="D25" s="24">
        <v>338</v>
      </c>
      <c r="E25" s="25" t="s">
        <v>37</v>
      </c>
      <c r="F25" s="25"/>
      <c r="G25" s="37">
        <v>1</v>
      </c>
      <c r="H25" s="37">
        <v>1</v>
      </c>
      <c r="I25" s="37">
        <v>1</v>
      </c>
      <c r="J25" s="37">
        <v>1</v>
      </c>
      <c r="K2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Ceniza</v>
      </c>
      <c r="L25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040 Ceniza</v>
      </c>
      <c r="M25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040 Ceniza</v>
      </c>
      <c r="N25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040 Ceniza</v>
      </c>
      <c r="O25" s="33">
        <f t="shared" si="0"/>
        <v>2.7160000000000002</v>
      </c>
    </row>
    <row r="26" spans="1:19" x14ac:dyDescent="0.2">
      <c r="A26" s="21">
        <v>9117173</v>
      </c>
      <c r="B26" s="22">
        <v>2</v>
      </c>
      <c r="C26" s="23">
        <v>286</v>
      </c>
      <c r="D26" s="24">
        <v>332</v>
      </c>
      <c r="E26" s="25" t="s">
        <v>30</v>
      </c>
      <c r="F26" s="25"/>
      <c r="G26" s="37">
        <v>1</v>
      </c>
      <c r="H26" s="37">
        <v>1</v>
      </c>
      <c r="I26" s="37"/>
      <c r="J26" s="37"/>
      <c r="K2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Ceniza</v>
      </c>
      <c r="L2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040 Ceniza</v>
      </c>
      <c r="M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" s="33">
        <f t="shared" si="0"/>
        <v>1.1439999999999999</v>
      </c>
    </row>
    <row r="27" spans="1:19" x14ac:dyDescent="0.2">
      <c r="A27" s="21">
        <v>9117173</v>
      </c>
      <c r="B27" s="22">
        <v>1</v>
      </c>
      <c r="C27" s="23">
        <v>510</v>
      </c>
      <c r="D27" s="24">
        <v>332</v>
      </c>
      <c r="E27" s="25" t="s">
        <v>38</v>
      </c>
      <c r="F27" s="25"/>
      <c r="G27" s="37">
        <v>1</v>
      </c>
      <c r="H27" s="37"/>
      <c r="I27" s="37">
        <v>1</v>
      </c>
      <c r="J27" s="37"/>
      <c r="K2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Ceniza</v>
      </c>
      <c r="L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040 Ceniza</v>
      </c>
      <c r="N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" s="33">
        <f t="shared" si="0"/>
        <v>0.84199999999999997</v>
      </c>
    </row>
    <row r="28" spans="1:19" x14ac:dyDescent="0.2">
      <c r="A28" s="21">
        <v>9117173</v>
      </c>
      <c r="B28" s="22">
        <v>2</v>
      </c>
      <c r="C28" s="23">
        <v>841</v>
      </c>
      <c r="D28" s="24">
        <v>332</v>
      </c>
      <c r="E28" s="25" t="s">
        <v>40</v>
      </c>
      <c r="F28" s="25"/>
      <c r="G28" s="37">
        <v>1</v>
      </c>
      <c r="H28" s="37">
        <v>1</v>
      </c>
      <c r="I28" s="37"/>
      <c r="J28" s="37"/>
      <c r="K2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Ceniza</v>
      </c>
      <c r="L28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040 Ceniza</v>
      </c>
      <c r="M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3">
        <f t="shared" si="0"/>
        <v>3.3639999999999999</v>
      </c>
    </row>
    <row r="29" spans="1:19" x14ac:dyDescent="0.2">
      <c r="A29" s="21">
        <v>9117173</v>
      </c>
      <c r="B29" s="22">
        <v>1</v>
      </c>
      <c r="C29" s="23">
        <v>866</v>
      </c>
      <c r="D29" s="24">
        <v>506</v>
      </c>
      <c r="E29" s="25" t="s">
        <v>39</v>
      </c>
      <c r="F29" s="25"/>
      <c r="G29" s="37">
        <v>1</v>
      </c>
      <c r="H29" s="37">
        <v>1</v>
      </c>
      <c r="I29" s="37">
        <v>1</v>
      </c>
      <c r="J29" s="37">
        <v>1</v>
      </c>
      <c r="K2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Ceniza</v>
      </c>
      <c r="L29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040 Ceniza</v>
      </c>
      <c r="M29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040 Ceniza</v>
      </c>
      <c r="N29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040 Ceniza</v>
      </c>
      <c r="O29" s="33">
        <f t="shared" si="0"/>
        <v>2.7440000000000002</v>
      </c>
    </row>
    <row r="30" spans="1:19" x14ac:dyDescent="0.2">
      <c r="A30" s="21">
        <v>9117173</v>
      </c>
      <c r="B30" s="22">
        <v>2</v>
      </c>
      <c r="C30" s="23">
        <v>340</v>
      </c>
      <c r="D30" s="24">
        <v>332</v>
      </c>
      <c r="E30" s="25" t="s">
        <v>42</v>
      </c>
      <c r="F30" s="25"/>
      <c r="G30" s="37">
        <v>1</v>
      </c>
      <c r="H30" s="37"/>
      <c r="I30" s="37">
        <v>1</v>
      </c>
      <c r="J30" s="37"/>
      <c r="K3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Ceniza</v>
      </c>
      <c r="L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040 Ceniza</v>
      </c>
      <c r="N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3">
        <f t="shared" si="0"/>
        <v>1.3440000000000001</v>
      </c>
    </row>
    <row r="31" spans="1:19" x14ac:dyDescent="0.2">
      <c r="A31" s="21">
        <v>9117173</v>
      </c>
      <c r="B31" s="22">
        <v>2</v>
      </c>
      <c r="C31" s="23">
        <v>816</v>
      </c>
      <c r="D31" s="24">
        <v>332</v>
      </c>
      <c r="E31" s="25" t="s">
        <v>43</v>
      </c>
      <c r="F31" s="25"/>
      <c r="G31" s="37">
        <v>1</v>
      </c>
      <c r="H31" s="37">
        <v>1</v>
      </c>
      <c r="I31" s="37"/>
      <c r="J31" s="37"/>
      <c r="K3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Ceniza</v>
      </c>
      <c r="L31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040 Ceniza</v>
      </c>
      <c r="M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3">
        <f t="shared" si="0"/>
        <v>3.2639999999999998</v>
      </c>
    </row>
    <row r="32" spans="1:19" x14ac:dyDescent="0.2">
      <c r="A32" s="21">
        <v>9117173</v>
      </c>
      <c r="B32" s="22">
        <v>1</v>
      </c>
      <c r="C32" s="23">
        <v>866</v>
      </c>
      <c r="D32" s="24">
        <v>336</v>
      </c>
      <c r="E32" s="25" t="s">
        <v>44</v>
      </c>
      <c r="F32" s="25"/>
      <c r="G32" s="37">
        <v>1</v>
      </c>
      <c r="H32" s="37">
        <v>1</v>
      </c>
      <c r="I32" s="37">
        <v>1</v>
      </c>
      <c r="J32" s="37">
        <v>1</v>
      </c>
      <c r="K3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Ceniza</v>
      </c>
      <c r="L32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040 Ceniza</v>
      </c>
      <c r="M32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040 Ceniza</v>
      </c>
      <c r="N32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040 Ceniza</v>
      </c>
      <c r="O32" s="33">
        <f t="shared" si="0"/>
        <v>2.4039999999999999</v>
      </c>
    </row>
    <row r="33" spans="1:15" x14ac:dyDescent="0.2">
      <c r="A33" s="21">
        <v>9117173</v>
      </c>
      <c r="B33" s="22">
        <v>2</v>
      </c>
      <c r="C33" s="23">
        <v>304</v>
      </c>
      <c r="D33" s="24">
        <v>332</v>
      </c>
      <c r="E33" s="25" t="s">
        <v>45</v>
      </c>
      <c r="F33" s="25"/>
      <c r="G33" s="37">
        <v>1</v>
      </c>
      <c r="H33" s="37">
        <v>1</v>
      </c>
      <c r="I33" s="37"/>
      <c r="J33" s="37"/>
      <c r="K3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Ceniza</v>
      </c>
      <c r="L33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040 Ceniza</v>
      </c>
      <c r="M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3">
        <f t="shared" si="0"/>
        <v>1.216</v>
      </c>
    </row>
    <row r="34" spans="1:15" x14ac:dyDescent="0.2">
      <c r="A34" s="21">
        <v>9117173</v>
      </c>
      <c r="B34" s="22">
        <v>4</v>
      </c>
      <c r="C34" s="23">
        <v>742</v>
      </c>
      <c r="D34" s="24">
        <v>570</v>
      </c>
      <c r="E34" s="25" t="s">
        <v>46</v>
      </c>
      <c r="F34" s="25"/>
      <c r="G34" s="37">
        <v>1</v>
      </c>
      <c r="H34" s="37">
        <v>1</v>
      </c>
      <c r="I34" s="37"/>
      <c r="J34" s="37"/>
      <c r="K3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Ceniza</v>
      </c>
      <c r="L34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040 Ceniza</v>
      </c>
      <c r="M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3">
        <f t="shared" si="0"/>
        <v>5.9359999999999999</v>
      </c>
    </row>
    <row r="35" spans="1:15" x14ac:dyDescent="0.2">
      <c r="A35" s="21">
        <v>9117173</v>
      </c>
      <c r="B35" s="22">
        <v>2</v>
      </c>
      <c r="C35" s="23">
        <v>446</v>
      </c>
      <c r="D35" s="24">
        <v>190</v>
      </c>
      <c r="E35" s="25" t="s">
        <v>47</v>
      </c>
      <c r="F35" s="25"/>
      <c r="G35" s="37">
        <v>1</v>
      </c>
      <c r="H35" s="37">
        <v>1</v>
      </c>
      <c r="I35" s="37">
        <v>1</v>
      </c>
      <c r="J35" s="37">
        <v>1</v>
      </c>
      <c r="K3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Ceniza</v>
      </c>
      <c r="L35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040 Ceniza</v>
      </c>
      <c r="M35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040 Ceniza</v>
      </c>
      <c r="N35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040 Ceniza</v>
      </c>
      <c r="O35" s="33">
        <f t="shared" si="0"/>
        <v>2.544</v>
      </c>
    </row>
    <row r="36" spans="1:15" x14ac:dyDescent="0.2">
      <c r="A36" s="21">
        <v>9117173</v>
      </c>
      <c r="B36" s="22">
        <v>1</v>
      </c>
      <c r="C36" s="23">
        <v>446</v>
      </c>
      <c r="D36" s="24">
        <v>320</v>
      </c>
      <c r="E36" s="25" t="s">
        <v>47</v>
      </c>
      <c r="F36" s="25"/>
      <c r="G36" s="37">
        <v>1</v>
      </c>
      <c r="H36" s="37">
        <v>1</v>
      </c>
      <c r="I36" s="37">
        <v>1</v>
      </c>
      <c r="J36" s="37">
        <v>1</v>
      </c>
      <c r="K3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Ceniza</v>
      </c>
      <c r="L3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040 Ceniza</v>
      </c>
      <c r="M3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040 Ceniza</v>
      </c>
      <c r="N36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040 Ceniza</v>
      </c>
      <c r="O36" s="33">
        <f t="shared" si="0"/>
        <v>1.532</v>
      </c>
    </row>
    <row r="37" spans="1:15" x14ac:dyDescent="0.2">
      <c r="A37" s="21">
        <v>9117173</v>
      </c>
      <c r="B37" s="22">
        <v>1</v>
      </c>
      <c r="C37" s="23">
        <v>450</v>
      </c>
      <c r="D37" s="24">
        <v>570</v>
      </c>
      <c r="E37" s="25" t="s">
        <v>48</v>
      </c>
      <c r="F37" s="25"/>
      <c r="G37" s="37">
        <v>1</v>
      </c>
      <c r="H37" s="37"/>
      <c r="I37" s="37">
        <v>1</v>
      </c>
      <c r="J37" s="37"/>
      <c r="K3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Ceniza</v>
      </c>
      <c r="L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040 Ceniza</v>
      </c>
      <c r="N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3">
        <f t="shared" si="0"/>
        <v>1.02</v>
      </c>
    </row>
    <row r="38" spans="1:15" x14ac:dyDescent="0.2">
      <c r="A38" s="21">
        <v>9117173</v>
      </c>
      <c r="B38" s="22">
        <v>10</v>
      </c>
      <c r="C38" s="23">
        <v>414</v>
      </c>
      <c r="D38" s="24">
        <v>40</v>
      </c>
      <c r="E38" s="25" t="s">
        <v>49</v>
      </c>
      <c r="F38" s="25"/>
      <c r="G38" s="37"/>
      <c r="H38" s="37"/>
      <c r="I38" s="37"/>
      <c r="J38" s="37"/>
      <c r="K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0</v>
      </c>
    </row>
    <row r="39" spans="1:15" x14ac:dyDescent="0.2">
      <c r="A39" s="21">
        <v>9117173</v>
      </c>
      <c r="B39" s="22">
        <v>4</v>
      </c>
      <c r="C39" s="23">
        <v>387</v>
      </c>
      <c r="D39" s="24">
        <v>150</v>
      </c>
      <c r="E39" s="25" t="s">
        <v>50</v>
      </c>
      <c r="F39" s="25"/>
      <c r="G39" s="37">
        <v>1</v>
      </c>
      <c r="H39" s="37"/>
      <c r="I39" s="37">
        <v>1</v>
      </c>
      <c r="J39" s="37">
        <v>1</v>
      </c>
      <c r="K3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Ceniza</v>
      </c>
      <c r="L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040 Ceniza</v>
      </c>
      <c r="N39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040 Ceniza</v>
      </c>
      <c r="O39" s="33">
        <f t="shared" si="0"/>
        <v>2.7480000000000002</v>
      </c>
    </row>
    <row r="40" spans="1:15" x14ac:dyDescent="0.2">
      <c r="A40" s="21">
        <v>9117173</v>
      </c>
      <c r="B40" s="22">
        <v>4</v>
      </c>
      <c r="C40" s="23">
        <v>464</v>
      </c>
      <c r="D40" s="24">
        <v>150</v>
      </c>
      <c r="E40" s="25" t="s">
        <v>50</v>
      </c>
      <c r="F40" s="25"/>
      <c r="G40" s="37">
        <v>1</v>
      </c>
      <c r="H40" s="37">
        <v>1</v>
      </c>
      <c r="I40" s="37"/>
      <c r="J40" s="37"/>
      <c r="K4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Ceniza</v>
      </c>
      <c r="L40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040 Ceniza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3.7120000000000002</v>
      </c>
    </row>
    <row r="41" spans="1:15" x14ac:dyDescent="0.2">
      <c r="A41" s="21">
        <v>9117173</v>
      </c>
      <c r="B41" s="22">
        <v>2</v>
      </c>
      <c r="C41" s="23">
        <v>387</v>
      </c>
      <c r="D41" s="24">
        <v>250</v>
      </c>
      <c r="E41" s="25" t="s">
        <v>50</v>
      </c>
      <c r="F41" s="25"/>
      <c r="G41" s="37">
        <v>1</v>
      </c>
      <c r="H41" s="37"/>
      <c r="I41" s="37">
        <v>1</v>
      </c>
      <c r="J41" s="37">
        <v>1</v>
      </c>
      <c r="K4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Ceniza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040 Ceniza</v>
      </c>
      <c r="N41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040 Ceniza</v>
      </c>
      <c r="O41" s="33">
        <f t="shared" si="0"/>
        <v>1.774</v>
      </c>
    </row>
    <row r="42" spans="1:15" x14ac:dyDescent="0.2">
      <c r="A42" s="21">
        <v>9117173</v>
      </c>
      <c r="B42" s="22">
        <v>2</v>
      </c>
      <c r="C42" s="23">
        <v>464</v>
      </c>
      <c r="D42" s="24">
        <v>250</v>
      </c>
      <c r="E42" s="25" t="s">
        <v>50</v>
      </c>
      <c r="F42" s="25"/>
      <c r="G42" s="37">
        <v>1</v>
      </c>
      <c r="H42" s="37">
        <v>1</v>
      </c>
      <c r="I42" s="37"/>
      <c r="J42" s="37"/>
      <c r="K4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Ceniza</v>
      </c>
      <c r="L42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040 Ceniza</v>
      </c>
      <c r="M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3">
        <f t="shared" si="0"/>
        <v>1.8560000000000001</v>
      </c>
    </row>
    <row r="43" spans="1:15" x14ac:dyDescent="0.2">
      <c r="A43" s="21">
        <v>9117173</v>
      </c>
      <c r="B43" s="22">
        <v>3</v>
      </c>
      <c r="C43" s="23">
        <v>674</v>
      </c>
      <c r="D43" s="24">
        <v>40</v>
      </c>
      <c r="E43" s="25" t="s">
        <v>49</v>
      </c>
      <c r="F43" s="25"/>
      <c r="G43" s="37"/>
      <c r="H43" s="37"/>
      <c r="I43" s="37"/>
      <c r="J43" s="37"/>
      <c r="K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0</v>
      </c>
    </row>
    <row r="44" spans="1:15" x14ac:dyDescent="0.2">
      <c r="A44" s="21">
        <v>9117173</v>
      </c>
      <c r="B44" s="22">
        <v>2</v>
      </c>
      <c r="C44" s="23">
        <v>738</v>
      </c>
      <c r="D44" s="24">
        <v>351</v>
      </c>
      <c r="E44" s="25" t="s">
        <v>51</v>
      </c>
      <c r="F44" s="25"/>
      <c r="G44" s="37">
        <v>1</v>
      </c>
      <c r="H44" s="37">
        <v>1</v>
      </c>
      <c r="I44" s="37">
        <v>1</v>
      </c>
      <c r="J44" s="37">
        <v>1</v>
      </c>
      <c r="K4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Ceniza</v>
      </c>
      <c r="L44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040 Ceniza</v>
      </c>
      <c r="M44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040 Ceniza</v>
      </c>
      <c r="N44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040 Ceniza</v>
      </c>
      <c r="O44" s="33">
        <f t="shared" si="0"/>
        <v>4.3559999999999999</v>
      </c>
    </row>
    <row r="45" spans="1:15" x14ac:dyDescent="0.2">
      <c r="A45" s="21">
        <v>9117173</v>
      </c>
      <c r="B45" s="22">
        <v>1</v>
      </c>
      <c r="C45" s="23">
        <v>710</v>
      </c>
      <c r="D45" s="24">
        <v>570</v>
      </c>
      <c r="E45" s="25" t="s">
        <v>52</v>
      </c>
      <c r="F45" s="25"/>
      <c r="G45" s="37">
        <v>1</v>
      </c>
      <c r="H45" s="37"/>
      <c r="I45" s="37">
        <v>1</v>
      </c>
      <c r="J45" s="37"/>
      <c r="K4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Ceniza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040 Ceniza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1.28</v>
      </c>
    </row>
    <row r="46" spans="1:15" x14ac:dyDescent="0.2">
      <c r="A46" s="21">
        <v>9117173</v>
      </c>
      <c r="B46" s="22">
        <v>1</v>
      </c>
      <c r="C46" s="23">
        <v>674</v>
      </c>
      <c r="D46" s="24">
        <v>570</v>
      </c>
      <c r="E46" s="25" t="s">
        <v>53</v>
      </c>
      <c r="F46" s="25"/>
      <c r="G46" s="37">
        <v>1</v>
      </c>
      <c r="H46" s="37">
        <v>1</v>
      </c>
      <c r="I46" s="37"/>
      <c r="J46" s="37"/>
      <c r="K4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Ceniza</v>
      </c>
      <c r="L4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040 Ceniza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1.3480000000000001</v>
      </c>
    </row>
    <row r="47" spans="1:15" x14ac:dyDescent="0.2">
      <c r="A47" s="21"/>
      <c r="B47" s="22"/>
      <c r="C47" s="23"/>
      <c r="D47" s="24"/>
      <c r="E47" s="25"/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F14:F15"/>
    <mergeCell ref="A14:A15"/>
    <mergeCell ref="B14:B15"/>
    <mergeCell ref="C14:C15"/>
    <mergeCell ref="D14:D15"/>
    <mergeCell ref="E14:E15"/>
    <mergeCell ref="A10:C10"/>
    <mergeCell ref="F10:K10"/>
    <mergeCell ref="A11:N11"/>
    <mergeCell ref="A12:L12"/>
    <mergeCell ref="A13:L13"/>
    <mergeCell ref="A7:C7"/>
    <mergeCell ref="F7:K7"/>
    <mergeCell ref="A8:C8"/>
    <mergeCell ref="F8:K8"/>
    <mergeCell ref="A9:C9"/>
    <mergeCell ref="F9:K9"/>
    <mergeCell ref="A4:C4"/>
    <mergeCell ref="F4:K4"/>
    <mergeCell ref="A5:C5"/>
    <mergeCell ref="F5:K5"/>
    <mergeCell ref="A6:C6"/>
    <mergeCell ref="F6:K6"/>
    <mergeCell ref="A1:D1"/>
    <mergeCell ref="F1:L1"/>
    <mergeCell ref="A2:C2"/>
    <mergeCell ref="F2:K2"/>
    <mergeCell ref="A3:C3"/>
    <mergeCell ref="F3:K3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1870</v>
      </c>
      <c r="B1">
        <f>Hoja1!B16*Hoja1!C16</f>
        <v>1870</v>
      </c>
      <c r="C1">
        <f>Hoja1!B16*Hoja1!D16</f>
        <v>664</v>
      </c>
      <c r="D1">
        <f>Hoja1!B16*Hoja1!D16</f>
        <v>664</v>
      </c>
    </row>
    <row r="2" spans="1:4" x14ac:dyDescent="0.2">
      <c r="A2">
        <f>Hoja1!B17*Hoja1!C17</f>
        <v>1196</v>
      </c>
      <c r="B2">
        <f>Hoja1!B17*Hoja1!C17</f>
        <v>1196</v>
      </c>
      <c r="C2">
        <f>Hoja1!B17*Hoja1!D17</f>
        <v>664</v>
      </c>
      <c r="D2">
        <f>Hoja1!B17*Hoja1!D17</f>
        <v>664</v>
      </c>
    </row>
    <row r="3" spans="1:4" x14ac:dyDescent="0.2">
      <c r="A3">
        <f>Hoja1!B18*Hoja1!C18</f>
        <v>899</v>
      </c>
      <c r="B3">
        <f>Hoja1!B18*Hoja1!C18</f>
        <v>899</v>
      </c>
      <c r="C3">
        <f>Hoja1!B18*Hoja1!D18</f>
        <v>332</v>
      </c>
      <c r="D3">
        <f>Hoja1!B18*Hoja1!D18</f>
        <v>332</v>
      </c>
    </row>
    <row r="4" spans="1:4" x14ac:dyDescent="0.2">
      <c r="A4">
        <f>Hoja1!B19*Hoja1!C19</f>
        <v>1296</v>
      </c>
      <c r="B4">
        <f>Hoja1!B19*Hoja1!C19</f>
        <v>1296</v>
      </c>
      <c r="C4">
        <f>Hoja1!B19*Hoja1!D19</f>
        <v>926</v>
      </c>
      <c r="D4">
        <f>Hoja1!B19*Hoja1!D19</f>
        <v>926</v>
      </c>
    </row>
    <row r="5" spans="1:4" x14ac:dyDescent="0.2">
      <c r="A5">
        <f>Hoja1!B20*Hoja1!C20</f>
        <v>1200</v>
      </c>
      <c r="B5">
        <f>Hoja1!B20*Hoja1!C20</f>
        <v>1200</v>
      </c>
      <c r="C5">
        <f>Hoja1!B20*Hoja1!D20</f>
        <v>664</v>
      </c>
      <c r="D5">
        <f>Hoja1!B20*Hoja1!D20</f>
        <v>664</v>
      </c>
    </row>
    <row r="6" spans="1:4" x14ac:dyDescent="0.2">
      <c r="A6">
        <f>Hoja1!B21*Hoja1!C21</f>
        <v>564</v>
      </c>
      <c r="B6">
        <f>Hoja1!B21*Hoja1!C21</f>
        <v>564</v>
      </c>
      <c r="C6">
        <f>Hoja1!B21*Hoja1!D21</f>
        <v>332</v>
      </c>
      <c r="D6">
        <f>Hoja1!B21*Hoja1!D21</f>
        <v>332</v>
      </c>
    </row>
    <row r="7" spans="1:4" x14ac:dyDescent="0.2">
      <c r="A7">
        <f>Hoja1!B22*Hoja1!C22</f>
        <v>1020</v>
      </c>
      <c r="B7">
        <f>Hoja1!B22*Hoja1!C22</f>
        <v>1020</v>
      </c>
      <c r="C7">
        <f>Hoja1!B22*Hoja1!D22</f>
        <v>592</v>
      </c>
      <c r="D7">
        <f>Hoja1!B22*Hoja1!D22</f>
        <v>592</v>
      </c>
    </row>
    <row r="8" spans="1:4" x14ac:dyDescent="0.2">
      <c r="A8">
        <f>Hoja1!B23*Hoja1!C23</f>
        <v>920</v>
      </c>
      <c r="B8">
        <f>Hoja1!B23*Hoja1!C23</f>
        <v>920</v>
      </c>
      <c r="C8">
        <f>Hoja1!B23*Hoja1!D23</f>
        <v>664</v>
      </c>
      <c r="D8">
        <f>Hoja1!B23*Hoja1!D23</f>
        <v>664</v>
      </c>
    </row>
    <row r="9" spans="1:4" x14ac:dyDescent="0.2">
      <c r="A9">
        <f>Hoja1!B24*Hoja1!C24</f>
        <v>1380</v>
      </c>
      <c r="B9">
        <f>Hoja1!B24*Hoja1!C24</f>
        <v>1380</v>
      </c>
      <c r="C9">
        <f>Hoja1!B24*Hoja1!D24</f>
        <v>664</v>
      </c>
      <c r="D9">
        <f>Hoja1!B24*Hoja1!D24</f>
        <v>664</v>
      </c>
    </row>
    <row r="10" spans="1:4" x14ac:dyDescent="0.2">
      <c r="A10">
        <f>Hoja1!B25*Hoja1!C25</f>
        <v>682</v>
      </c>
      <c r="B10">
        <f>Hoja1!B25*Hoja1!C25</f>
        <v>682</v>
      </c>
      <c r="C10">
        <f>Hoja1!B25*Hoja1!D25</f>
        <v>676</v>
      </c>
      <c r="D10">
        <f>Hoja1!B25*Hoja1!D25</f>
        <v>676</v>
      </c>
    </row>
    <row r="11" spans="1:4" x14ac:dyDescent="0.2">
      <c r="A11">
        <f>Hoja1!B26*Hoja1!C26</f>
        <v>572</v>
      </c>
      <c r="B11">
        <f>Hoja1!B26*Hoja1!C26</f>
        <v>572</v>
      </c>
      <c r="C11">
        <f>Hoja1!B26*Hoja1!D26</f>
        <v>664</v>
      </c>
      <c r="D11">
        <f>Hoja1!B26*Hoja1!D26</f>
        <v>664</v>
      </c>
    </row>
    <row r="12" spans="1:4" x14ac:dyDescent="0.2">
      <c r="A12">
        <f>Hoja1!B27*Hoja1!C27</f>
        <v>510</v>
      </c>
      <c r="B12">
        <f>Hoja1!B27*Hoja1!C27</f>
        <v>510</v>
      </c>
      <c r="C12">
        <f>Hoja1!B27*Hoja1!D27</f>
        <v>332</v>
      </c>
      <c r="D12">
        <f>Hoja1!B27*Hoja1!D27</f>
        <v>332</v>
      </c>
    </row>
    <row r="13" spans="1:4" x14ac:dyDescent="0.2">
      <c r="A13">
        <f>Hoja1!B28*Hoja1!C28</f>
        <v>1682</v>
      </c>
      <c r="B13">
        <f>Hoja1!B28*Hoja1!C28</f>
        <v>1682</v>
      </c>
      <c r="C13">
        <f>Hoja1!B28*Hoja1!D28</f>
        <v>664</v>
      </c>
      <c r="D13">
        <f>Hoja1!B28*Hoja1!D28</f>
        <v>664</v>
      </c>
    </row>
    <row r="14" spans="1:4" x14ac:dyDescent="0.2">
      <c r="A14">
        <f>Hoja1!B29*Hoja1!C29</f>
        <v>866</v>
      </c>
      <c r="B14">
        <f>Hoja1!B29*Hoja1!C29</f>
        <v>866</v>
      </c>
      <c r="C14">
        <f>Hoja1!B29*Hoja1!D29</f>
        <v>506</v>
      </c>
      <c r="D14">
        <f>Hoja1!B29*Hoja1!D29</f>
        <v>506</v>
      </c>
    </row>
    <row r="15" spans="1:4" x14ac:dyDescent="0.2">
      <c r="A15">
        <f>Hoja1!B30*Hoja1!C30</f>
        <v>680</v>
      </c>
      <c r="B15">
        <f>Hoja1!B30*Hoja1!C30</f>
        <v>680</v>
      </c>
      <c r="C15">
        <f>Hoja1!B30*Hoja1!D30</f>
        <v>664</v>
      </c>
      <c r="D15">
        <f>Hoja1!B30*Hoja1!D30</f>
        <v>664</v>
      </c>
    </row>
    <row r="16" spans="1:4" x14ac:dyDescent="0.2">
      <c r="A16">
        <f>Hoja1!B31*Hoja1!C31</f>
        <v>1632</v>
      </c>
      <c r="B16">
        <f>Hoja1!B31*Hoja1!C31</f>
        <v>1632</v>
      </c>
      <c r="C16">
        <f>Hoja1!B31*Hoja1!D31</f>
        <v>664</v>
      </c>
      <c r="D16">
        <f>Hoja1!B31*Hoja1!D31</f>
        <v>664</v>
      </c>
    </row>
    <row r="17" spans="1:4" x14ac:dyDescent="0.2">
      <c r="A17">
        <f>Hoja1!B32*Hoja1!C32</f>
        <v>866</v>
      </c>
      <c r="B17">
        <f>Hoja1!B32*Hoja1!C32</f>
        <v>866</v>
      </c>
      <c r="C17">
        <f>Hoja1!B32*Hoja1!D32</f>
        <v>336</v>
      </c>
      <c r="D17">
        <f>Hoja1!B32*Hoja1!D32</f>
        <v>336</v>
      </c>
    </row>
    <row r="18" spans="1:4" x14ac:dyDescent="0.2">
      <c r="A18">
        <f>Hoja1!B33*Hoja1!C33</f>
        <v>608</v>
      </c>
      <c r="B18">
        <f>Hoja1!B33*Hoja1!C33</f>
        <v>608</v>
      </c>
      <c r="C18">
        <f>Hoja1!B33*Hoja1!D33</f>
        <v>664</v>
      </c>
      <c r="D18">
        <f>Hoja1!B33*Hoja1!D33</f>
        <v>664</v>
      </c>
    </row>
    <row r="19" spans="1:4" x14ac:dyDescent="0.2">
      <c r="A19">
        <f>Hoja1!B34*Hoja1!C34</f>
        <v>2968</v>
      </c>
      <c r="B19">
        <f>Hoja1!B34*Hoja1!C34</f>
        <v>2968</v>
      </c>
      <c r="C19">
        <f>Hoja1!B34*Hoja1!D34</f>
        <v>2280</v>
      </c>
      <c r="D19">
        <f>Hoja1!B34*Hoja1!D34</f>
        <v>2280</v>
      </c>
    </row>
    <row r="20" spans="1:4" x14ac:dyDescent="0.2">
      <c r="A20">
        <f>Hoja1!B35*Hoja1!C35</f>
        <v>892</v>
      </c>
      <c r="B20">
        <f>Hoja1!B35*Hoja1!C35</f>
        <v>892</v>
      </c>
      <c r="C20">
        <f>Hoja1!B35*Hoja1!D35</f>
        <v>380</v>
      </c>
      <c r="D20">
        <f>Hoja1!B35*Hoja1!D35</f>
        <v>380</v>
      </c>
    </row>
    <row r="21" spans="1:4" x14ac:dyDescent="0.2">
      <c r="A21">
        <f>Hoja1!B36*Hoja1!C36</f>
        <v>446</v>
      </c>
      <c r="B21">
        <f>Hoja1!B36*Hoja1!C36</f>
        <v>446</v>
      </c>
      <c r="C21">
        <f>Hoja1!B36*Hoja1!D36</f>
        <v>320</v>
      </c>
      <c r="D21">
        <f>Hoja1!B36*Hoja1!D36</f>
        <v>320</v>
      </c>
    </row>
    <row r="22" spans="1:4" x14ac:dyDescent="0.2">
      <c r="A22">
        <f>Hoja1!B37*Hoja1!C37</f>
        <v>450</v>
      </c>
      <c r="B22">
        <f>Hoja1!B37*Hoja1!C37</f>
        <v>450</v>
      </c>
      <c r="C22">
        <f>Hoja1!B37*Hoja1!D37</f>
        <v>570</v>
      </c>
      <c r="D22">
        <f>Hoja1!B37*Hoja1!D37</f>
        <v>570</v>
      </c>
    </row>
    <row r="23" spans="1:4" x14ac:dyDescent="0.2">
      <c r="A23">
        <f>Hoja1!B38*Hoja1!C38</f>
        <v>4140</v>
      </c>
      <c r="B23">
        <f>Hoja1!B38*Hoja1!C38</f>
        <v>4140</v>
      </c>
      <c r="C23">
        <f>Hoja1!B38*Hoja1!D38</f>
        <v>400</v>
      </c>
      <c r="D23">
        <f>Hoja1!B38*Hoja1!D38</f>
        <v>400</v>
      </c>
    </row>
    <row r="24" spans="1:4" x14ac:dyDescent="0.2">
      <c r="A24">
        <f>Hoja1!B39*Hoja1!C39</f>
        <v>1548</v>
      </c>
      <c r="B24">
        <f>Hoja1!B39*Hoja1!C39</f>
        <v>1548</v>
      </c>
      <c r="C24">
        <f>Hoja1!B39*Hoja1!D39</f>
        <v>600</v>
      </c>
      <c r="D24">
        <f>Hoja1!B39*Hoja1!D39</f>
        <v>600</v>
      </c>
    </row>
    <row r="25" spans="1:4" x14ac:dyDescent="0.2">
      <c r="A25">
        <f>Hoja1!B40*Hoja1!C40</f>
        <v>1856</v>
      </c>
      <c r="B25">
        <f>Hoja1!B40*Hoja1!C40</f>
        <v>1856</v>
      </c>
      <c r="C25">
        <f>Hoja1!B40*Hoja1!D40</f>
        <v>600</v>
      </c>
      <c r="D25">
        <f>Hoja1!B40*Hoja1!D40</f>
        <v>600</v>
      </c>
    </row>
    <row r="26" spans="1:4" x14ac:dyDescent="0.2">
      <c r="A26">
        <f>Hoja1!B41*Hoja1!C41</f>
        <v>774</v>
      </c>
      <c r="B26">
        <f>Hoja1!B41*Hoja1!C41</f>
        <v>774</v>
      </c>
      <c r="C26">
        <f>Hoja1!B41*Hoja1!D41</f>
        <v>500</v>
      </c>
      <c r="D26">
        <f>Hoja1!B41*Hoja1!D41</f>
        <v>500</v>
      </c>
    </row>
    <row r="27" spans="1:4" x14ac:dyDescent="0.2">
      <c r="A27">
        <f>Hoja1!B42*Hoja1!C42</f>
        <v>928</v>
      </c>
      <c r="B27">
        <f>Hoja1!B42*Hoja1!C42</f>
        <v>928</v>
      </c>
      <c r="C27">
        <f>Hoja1!B42*Hoja1!D42</f>
        <v>500</v>
      </c>
      <c r="D27">
        <f>Hoja1!B42*Hoja1!D42</f>
        <v>500</v>
      </c>
    </row>
    <row r="28" spans="1:4" x14ac:dyDescent="0.2">
      <c r="A28">
        <f>Hoja1!B43*Hoja1!C43</f>
        <v>2022</v>
      </c>
      <c r="B28">
        <f>Hoja1!B43*Hoja1!C43</f>
        <v>2022</v>
      </c>
      <c r="C28">
        <f>Hoja1!B43*Hoja1!D43</f>
        <v>120</v>
      </c>
      <c r="D28">
        <f>Hoja1!B43*Hoja1!D43</f>
        <v>120</v>
      </c>
    </row>
    <row r="29" spans="1:4" x14ac:dyDescent="0.2">
      <c r="A29">
        <f>Hoja1!B44*Hoja1!C44</f>
        <v>1476</v>
      </c>
      <c r="B29">
        <f>Hoja1!B44*Hoja1!C44</f>
        <v>1476</v>
      </c>
      <c r="C29">
        <f>Hoja1!B44*Hoja1!D44</f>
        <v>702</v>
      </c>
      <c r="D29">
        <f>Hoja1!B44*Hoja1!D44</f>
        <v>702</v>
      </c>
    </row>
    <row r="30" spans="1:4" x14ac:dyDescent="0.2">
      <c r="A30">
        <f>Hoja1!B45*Hoja1!C45</f>
        <v>710</v>
      </c>
      <c r="B30">
        <f>Hoja1!B45*Hoja1!C45</f>
        <v>710</v>
      </c>
      <c r="C30">
        <f>Hoja1!B45*Hoja1!D45</f>
        <v>570</v>
      </c>
      <c r="D30">
        <f>Hoja1!B45*Hoja1!D45</f>
        <v>570</v>
      </c>
    </row>
    <row r="31" spans="1:4" x14ac:dyDescent="0.2">
      <c r="A31">
        <f>Hoja1!B46*Hoja1!C46</f>
        <v>674</v>
      </c>
      <c r="B31">
        <f>Hoja1!B46*Hoja1!C46</f>
        <v>674</v>
      </c>
      <c r="C31">
        <f>Hoja1!B46*Hoja1!D46</f>
        <v>570</v>
      </c>
      <c r="D31">
        <f>Hoja1!B46*Hoja1!D46</f>
        <v>570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2025-05-12T22:26:59Z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