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lucas amigo gaston\"/>
    </mc:Choice>
  </mc:AlternateContent>
  <xr:revisionPtr revIDLastSave="0" documentId="13_ncr:1_{E7A5C98D-CB36-4BA6-A429-C0882387E552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<sst xmlns="http://schemas.openxmlformats.org/spreadsheetml/2006/main" count="68" uniqueCount="45">
  <si>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</si>
  <si>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</si>
  <si>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</si>
  <si>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</si>
  <si>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</si>
  <si>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</si>
  <si>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</si>
  <si>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</si>
  <si>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</si>
  <si>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</si>
  <si>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</si>
  <si>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</si>
  <si>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</si>
  <si>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</si>
  <si>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</si>
  <si>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</si>
  <si>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</si>
  <si>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</si>
  <si>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</si>
  <si>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</si>
  <si>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</si>
  <si>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</si>
  <si>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</si>
  <si>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</si>
  <si>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</si>
  <si>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</si>
  <si>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</si>
  <si>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</si>
  <si>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</si>
  <si>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alace2</t>
  </si>
  <si>
    <t>puerta alace 2</t>
  </si>
  <si>
    <t>base alace 1</t>
  </si>
  <si>
    <t>lat alace 1</t>
  </si>
  <si>
    <t>lat alace 3</t>
  </si>
  <si>
    <t>base alace 3</t>
  </si>
  <si>
    <t>puerta ala 3</t>
  </si>
  <si>
    <t>estane ala 3</t>
  </si>
  <si>
    <t>estane ala 2</t>
  </si>
  <si>
    <t>lat alace 2</t>
  </si>
  <si>
    <t>puerta alace 1</t>
  </si>
  <si>
    <t>estane ala 1</t>
  </si>
  <si>
    <t>base alace 4</t>
  </si>
  <si>
    <t>estane ala 4</t>
  </si>
  <si>
    <t>puerta alace 4</t>
  </si>
  <si>
    <t>lat alace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</si>
</sst>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5" zoomScale="130" zoomScaleNormal="130" workbookViewId="0">
      <selection activeCell="D35" sqref="D3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392.733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34.737149999999993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2</v>
      </c>
      <c r="C16" s="23">
        <v>830</v>
      </c>
      <c r="D16" s="24">
        <v>300</v>
      </c>
      <c r="E16" s="25" t="s">
        <v>34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6" s="33">
        <f t="shared" ref="O16:O79" si="0">(IF(G16&gt;0,C16,0)+IF(H16&gt;0,C16,0)+IF(I16&gt;0,D16,0)+IF(J16&gt;0,D16,0))*B16/1000</f>
        <v>2.86</v>
      </c>
      <c r="Q16">
        <v>1</v>
      </c>
      <c r="R16" s="34">
        <f>((SUMIF(G16:G1016,D3,Hoja3!A1:A1001)+SUMIF(H16:H1016,D3,Hoja3!B1:B1001)+SUMIF(I16:I1016,D3,Hoja3!C1:C1001)+SUMIF(J16:J1016,D3,Hoja3!D1:D1001))/1000)*1.05</f>
        <v>34.73715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724</v>
      </c>
      <c r="D17" s="24">
        <v>300</v>
      </c>
      <c r="E17" s="25" t="s">
        <v>33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2.8959999999999999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794</v>
      </c>
      <c r="D18" s="24">
        <v>300</v>
      </c>
      <c r="E18" s="25" t="s">
        <v>36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0.79400000000000004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756</v>
      </c>
      <c r="D19" s="24">
        <v>411</v>
      </c>
      <c r="E19" s="25" t="s">
        <v>35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9" s="33">
        <f t="shared" si="0"/>
        <v>4.6680000000000001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600</v>
      </c>
      <c r="D20" s="24">
        <v>300</v>
      </c>
      <c r="E20" s="25" t="s">
        <v>29</v>
      </c>
      <c r="F20" s="25"/>
      <c r="G20" s="36">
        <v>1</v>
      </c>
      <c r="H20" s="36"/>
      <c r="I20" s="36">
        <v>1</v>
      </c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1</v>
      </c>
      <c r="C21" s="23">
        <v>564</v>
      </c>
      <c r="D21" s="24">
        <v>300</v>
      </c>
      <c r="E21" s="25" t="s">
        <v>37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0.56399999999999995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2</v>
      </c>
      <c r="C22" s="23">
        <v>616</v>
      </c>
      <c r="D22" s="24">
        <v>296</v>
      </c>
      <c r="E22" s="25" t="s">
        <v>30</v>
      </c>
      <c r="F22" s="25"/>
      <c r="G22" s="36">
        <v>1</v>
      </c>
      <c r="H22" s="36">
        <v>1</v>
      </c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2" s="33">
        <f t="shared" si="0"/>
        <v>3.6480000000000001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584</v>
      </c>
      <c r="D23" s="24">
        <v>300</v>
      </c>
      <c r="E23" s="25" t="s">
        <v>38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2.3359999999999999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680</v>
      </c>
      <c r="D24" s="24">
        <v>300</v>
      </c>
      <c r="E24" s="25" t="s">
        <v>31</v>
      </c>
      <c r="F24" s="25"/>
      <c r="G24" s="37">
        <v>1</v>
      </c>
      <c r="H24" s="37"/>
      <c r="I24" s="37">
        <v>1</v>
      </c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1.96</v>
      </c>
      <c r="R24" s="38">
        <f>SUM(R16:R23)</f>
        <v>34.73715</v>
      </c>
      <c r="S24" s="39" t="s">
        <v>27</v>
      </c>
    </row>
    <row r="25" spans="1:19" x14ac:dyDescent="0.2">
      <c r="A25" s="21" t="s">
        <v>26</v>
      </c>
      <c r="B25" s="22">
        <v>1</v>
      </c>
      <c r="C25" s="23">
        <v>644</v>
      </c>
      <c r="D25" s="24">
        <v>300</v>
      </c>
      <c r="E25" s="25" t="s">
        <v>40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0.64400000000000002</v>
      </c>
    </row>
    <row r="26" spans="1:19" x14ac:dyDescent="0.2">
      <c r="A26" s="21" t="s">
        <v>26</v>
      </c>
      <c r="B26" s="22">
        <v>2</v>
      </c>
      <c r="C26" s="23">
        <v>326</v>
      </c>
      <c r="D26" s="24">
        <v>336</v>
      </c>
      <c r="E26" s="25" t="s">
        <v>39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2.6480000000000001</v>
      </c>
    </row>
    <row r="27" spans="1:19" x14ac:dyDescent="0.2">
      <c r="A27" s="21" t="s">
        <v>26</v>
      </c>
      <c r="B27" s="22">
        <v>2</v>
      </c>
      <c r="C27" s="23">
        <v>294</v>
      </c>
      <c r="D27" s="24">
        <v>300</v>
      </c>
      <c r="E27" s="25" t="s">
        <v>32</v>
      </c>
      <c r="F27" s="25"/>
      <c r="G27" s="37">
        <v>1</v>
      </c>
      <c r="H27" s="37">
        <v>1</v>
      </c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1.1759999999999999</v>
      </c>
    </row>
    <row r="28" spans="1:19" x14ac:dyDescent="0.2">
      <c r="A28" s="21" t="s">
        <v>26</v>
      </c>
      <c r="B28" s="22">
        <v>2</v>
      </c>
      <c r="C28" s="23">
        <v>425</v>
      </c>
      <c r="D28" s="24">
        <v>300</v>
      </c>
      <c r="E28" s="25" t="s">
        <v>41</v>
      </c>
      <c r="F28" s="25"/>
      <c r="G28" s="37">
        <v>1</v>
      </c>
      <c r="H28" s="37"/>
      <c r="I28" s="37">
        <v>1</v>
      </c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1.45</v>
      </c>
    </row>
    <row r="29" spans="1:19" x14ac:dyDescent="0.2">
      <c r="A29" s="21" t="s">
        <v>26</v>
      </c>
      <c r="B29" s="22">
        <v>1</v>
      </c>
      <c r="C29" s="23">
        <v>389</v>
      </c>
      <c r="D29" s="24">
        <v>300</v>
      </c>
      <c r="E29" s="25" t="s">
        <v>42</v>
      </c>
      <c r="F29" s="25"/>
      <c r="G29" s="37">
        <v>1</v>
      </c>
      <c r="H29" s="37"/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0.38900000000000001</v>
      </c>
    </row>
    <row r="30" spans="1:19" x14ac:dyDescent="0.2">
      <c r="A30" s="21" t="s">
        <v>26</v>
      </c>
      <c r="B30" s="22">
        <v>1</v>
      </c>
      <c r="C30" s="23">
        <v>756</v>
      </c>
      <c r="D30" s="24">
        <v>421</v>
      </c>
      <c r="E30" s="25" t="s">
        <v>43</v>
      </c>
      <c r="F30" s="25"/>
      <c r="G30" s="37">
        <v>1</v>
      </c>
      <c r="H30" s="37">
        <v>1</v>
      </c>
      <c r="I30" s="37">
        <v>1</v>
      </c>
      <c r="J30" s="37">
        <v>1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0" s="33">
        <f t="shared" si="0"/>
        <v>2.3540000000000001</v>
      </c>
    </row>
    <row r="31" spans="1:19" x14ac:dyDescent="0.2">
      <c r="A31" s="21" t="s">
        <v>26</v>
      </c>
      <c r="B31" s="22">
        <v>2</v>
      </c>
      <c r="C31" s="23">
        <v>724</v>
      </c>
      <c r="D31" s="24">
        <v>300</v>
      </c>
      <c r="E31" s="25" t="s">
        <v>44</v>
      </c>
      <c r="F31" s="25"/>
      <c r="G31" s="37">
        <v>1</v>
      </c>
      <c r="H31" s="37">
        <v>1</v>
      </c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2.8959999999999999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1660</v>
      </c>
      <c r="B1">
        <f>Hoja1!B16*Hoja1!C16</f>
        <v>1660</v>
      </c>
      <c r="C1">
        <f>Hoja1!B16*Hoja1!D16</f>
        <v>600</v>
      </c>
      <c r="D1">
        <f>Hoja1!B16*Hoja1!D16</f>
        <v>600</v>
      </c>
    </row>
    <row r="2" spans="1:4" x14ac:dyDescent="0.2">
      <c r="A2">
        <f>Hoja1!B17*Hoja1!C17</f>
        <v>1448</v>
      </c>
      <c r="B2">
        <f>Hoja1!B17*Hoja1!C17</f>
        <v>1448</v>
      </c>
      <c r="C2">
        <f>Hoja1!B17*Hoja1!D17</f>
        <v>600</v>
      </c>
      <c r="D2">
        <f>Hoja1!B17*Hoja1!D17</f>
        <v>600</v>
      </c>
    </row>
    <row r="3" spans="1:4" x14ac:dyDescent="0.2">
      <c r="A3">
        <f>Hoja1!B18*Hoja1!C18</f>
        <v>794</v>
      </c>
      <c r="B3">
        <f>Hoja1!B18*Hoja1!C18</f>
        <v>794</v>
      </c>
      <c r="C3">
        <f>Hoja1!B18*Hoja1!D18</f>
        <v>300</v>
      </c>
      <c r="D3">
        <f>Hoja1!B18*Hoja1!D18</f>
        <v>300</v>
      </c>
    </row>
    <row r="4" spans="1:4" x14ac:dyDescent="0.2">
      <c r="A4">
        <f>Hoja1!B19*Hoja1!C19</f>
        <v>1512</v>
      </c>
      <c r="B4">
        <f>Hoja1!B19*Hoja1!C19</f>
        <v>1512</v>
      </c>
      <c r="C4">
        <f>Hoja1!B19*Hoja1!D19</f>
        <v>822</v>
      </c>
      <c r="D4">
        <f>Hoja1!B19*Hoja1!D19</f>
        <v>822</v>
      </c>
    </row>
    <row r="5" spans="1:4" x14ac:dyDescent="0.2">
      <c r="A5">
        <f>Hoja1!B20*Hoja1!C20</f>
        <v>1200</v>
      </c>
      <c r="B5">
        <f>Hoja1!B20*Hoja1!C20</f>
        <v>1200</v>
      </c>
      <c r="C5">
        <f>Hoja1!B20*Hoja1!D20</f>
        <v>600</v>
      </c>
      <c r="D5">
        <f>Hoja1!B20*Hoja1!D20</f>
        <v>600</v>
      </c>
    </row>
    <row r="6" spans="1:4" x14ac:dyDescent="0.2">
      <c r="A6">
        <f>Hoja1!B21*Hoja1!C21</f>
        <v>564</v>
      </c>
      <c r="B6">
        <f>Hoja1!B21*Hoja1!C21</f>
        <v>564</v>
      </c>
      <c r="C6">
        <f>Hoja1!B21*Hoja1!D21</f>
        <v>300</v>
      </c>
      <c r="D6">
        <f>Hoja1!B21*Hoja1!D21</f>
        <v>300</v>
      </c>
    </row>
    <row r="7" spans="1:4" x14ac:dyDescent="0.2">
      <c r="A7">
        <f>Hoja1!B22*Hoja1!C22</f>
        <v>1232</v>
      </c>
      <c r="B7">
        <f>Hoja1!B22*Hoja1!C22</f>
        <v>1232</v>
      </c>
      <c r="C7">
        <f>Hoja1!B22*Hoja1!D22</f>
        <v>592</v>
      </c>
      <c r="D7">
        <f>Hoja1!B22*Hoja1!D22</f>
        <v>592</v>
      </c>
    </row>
    <row r="8" spans="1:4" x14ac:dyDescent="0.2">
      <c r="A8">
        <f>Hoja1!B23*Hoja1!C23</f>
        <v>1168</v>
      </c>
      <c r="B8">
        <f>Hoja1!B23*Hoja1!C23</f>
        <v>1168</v>
      </c>
      <c r="C8">
        <f>Hoja1!B23*Hoja1!D23</f>
        <v>600</v>
      </c>
      <c r="D8">
        <f>Hoja1!B23*Hoja1!D23</f>
        <v>600</v>
      </c>
    </row>
    <row r="9" spans="1:4" x14ac:dyDescent="0.2">
      <c r="A9">
        <f>Hoja1!B24*Hoja1!C24</f>
        <v>1360</v>
      </c>
      <c r="B9">
        <f>Hoja1!B24*Hoja1!C24</f>
        <v>1360</v>
      </c>
      <c r="C9">
        <f>Hoja1!B24*Hoja1!D24</f>
        <v>600</v>
      </c>
      <c r="D9">
        <f>Hoja1!B24*Hoja1!D24</f>
        <v>600</v>
      </c>
    </row>
    <row r="10" spans="1:4" x14ac:dyDescent="0.2">
      <c r="A10">
        <f>Hoja1!B25*Hoja1!C25</f>
        <v>644</v>
      </c>
      <c r="B10">
        <f>Hoja1!B25*Hoja1!C25</f>
        <v>644</v>
      </c>
      <c r="C10">
        <f>Hoja1!B25*Hoja1!D25</f>
        <v>300</v>
      </c>
      <c r="D10">
        <f>Hoja1!B25*Hoja1!D25</f>
        <v>300</v>
      </c>
    </row>
    <row r="11" spans="1:4" x14ac:dyDescent="0.2">
      <c r="A11">
        <f>Hoja1!B26*Hoja1!C26</f>
        <v>652</v>
      </c>
      <c r="B11">
        <f>Hoja1!B26*Hoja1!C26</f>
        <v>652</v>
      </c>
      <c r="C11">
        <f>Hoja1!B26*Hoja1!D26</f>
        <v>672</v>
      </c>
      <c r="D11">
        <f>Hoja1!B26*Hoja1!D26</f>
        <v>672</v>
      </c>
    </row>
    <row r="12" spans="1:4" x14ac:dyDescent="0.2">
      <c r="A12">
        <f>Hoja1!B27*Hoja1!C27</f>
        <v>588</v>
      </c>
      <c r="B12">
        <f>Hoja1!B27*Hoja1!C27</f>
        <v>588</v>
      </c>
      <c r="C12">
        <f>Hoja1!B27*Hoja1!D27</f>
        <v>600</v>
      </c>
      <c r="D12">
        <f>Hoja1!B27*Hoja1!D27</f>
        <v>600</v>
      </c>
    </row>
    <row r="13" spans="1:4" x14ac:dyDescent="0.2">
      <c r="A13">
        <f>Hoja1!B28*Hoja1!C28</f>
        <v>850</v>
      </c>
      <c r="B13">
        <f>Hoja1!B28*Hoja1!C28</f>
        <v>850</v>
      </c>
      <c r="C13">
        <f>Hoja1!B28*Hoja1!D28</f>
        <v>600</v>
      </c>
      <c r="D13">
        <f>Hoja1!B28*Hoja1!D28</f>
        <v>600</v>
      </c>
    </row>
    <row r="14" spans="1:4" x14ac:dyDescent="0.2">
      <c r="A14">
        <f>Hoja1!B29*Hoja1!C29</f>
        <v>389</v>
      </c>
      <c r="B14">
        <f>Hoja1!B29*Hoja1!C29</f>
        <v>389</v>
      </c>
      <c r="C14">
        <f>Hoja1!B29*Hoja1!D29</f>
        <v>300</v>
      </c>
      <c r="D14">
        <f>Hoja1!B29*Hoja1!D29</f>
        <v>300</v>
      </c>
    </row>
    <row r="15" spans="1:4" x14ac:dyDescent="0.2">
      <c r="A15">
        <f>Hoja1!B30*Hoja1!C30</f>
        <v>756</v>
      </c>
      <c r="B15">
        <f>Hoja1!B30*Hoja1!C30</f>
        <v>756</v>
      </c>
      <c r="C15">
        <f>Hoja1!B30*Hoja1!D30</f>
        <v>421</v>
      </c>
      <c r="D15">
        <f>Hoja1!B30*Hoja1!D30</f>
        <v>421</v>
      </c>
    </row>
    <row r="16" spans="1:4" x14ac:dyDescent="0.2">
      <c r="A16">
        <f>Hoja1!B31*Hoja1!C31</f>
        <v>1448</v>
      </c>
      <c r="B16">
        <f>Hoja1!B31*Hoja1!C31</f>
        <v>1448</v>
      </c>
      <c r="C16">
        <f>Hoja1!B31*Hoja1!D31</f>
        <v>600</v>
      </c>
      <c r="D16">
        <f>Hoja1!B31*Hoja1!D31</f>
        <v>600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2025-03-26T21:14:55Z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