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jo velez\"/>
    </mc:Choice>
  </mc:AlternateContent>
  <xr:revisionPtr revIDLastSave="0" documentId="13_ncr:1_{A4B49687-CDFA-41C0-86C1-4EEA3244E07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<sst xmlns="http://schemas.openxmlformats.org/spreadsheetml/2006/main" count="59" uniqueCount="47">
  <si>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</si>
  <si>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</si>
  <si>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</si>
  <si>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</si>
  <si>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</si>
  <si>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</si>
  <si>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</si>
  <si>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</si>
  <si>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</si>
  <si>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</si>
  <si>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</si>
  <si>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</si>
  <si>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</si>
  <si>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</si>
  <si>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</si>
  <si>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</si>
  <si>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</si>
  <si>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</si>
  <si>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</si>
  <si>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</si>
  <si>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</si>
  <si>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</si>
  <si>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</si>
  <si>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</si>
  <si>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</si>
  <si>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</si>
  <si>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</si>
  <si>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</si>
  <si>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base alacena derech</t>
  </si>
  <si>
    <t>lat ala derech</t>
  </si>
  <si>
    <t>estante ala derec</t>
  </si>
  <si>
    <t>base ala derch</t>
  </si>
  <si>
    <t>puertas derec</t>
  </si>
  <si>
    <t xml:space="preserve">base </t>
  </si>
  <si>
    <t>lat</t>
  </si>
  <si>
    <t>estante</t>
  </si>
  <si>
    <t xml:space="preserve">puertas </t>
  </si>
  <si>
    <t>base</t>
  </si>
  <si>
    <t>puerta</t>
  </si>
  <si>
    <t>zoca</t>
  </si>
  <si>
    <t>lat bajo mesa</t>
  </si>
  <si>
    <t>base bajo mesa</t>
  </si>
  <si>
    <t>estante bajo me</t>
  </si>
  <si>
    <t>soporte</t>
  </si>
  <si>
    <t>soporte bajo</t>
  </si>
  <si>
    <t>puertas bajo</t>
  </si>
  <si>
    <t>puertas baaaa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</si>
</sst>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6" zoomScale="130" zoomScaleNormal="130" workbookViewId="0">
      <selection activeCell="A41" sqref="A4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1593.0340000000001</v>
      </c>
      <c r="F3" s="45">
        <v>9117152</v>
      </c>
      <c r="G3" s="45"/>
      <c r="H3" s="45"/>
      <c r="I3" s="45"/>
      <c r="J3" s="45"/>
      <c r="K3" s="45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101.10450000000002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8</v>
      </c>
      <c r="C16" s="23">
        <v>580</v>
      </c>
      <c r="D16" s="24">
        <v>300</v>
      </c>
      <c r="E16" s="25" t="s">
        <v>28</v>
      </c>
      <c r="F16" s="25"/>
      <c r="G16" s="34">
        <v>1</v>
      </c>
      <c r="H16" s="34">
        <v>1</v>
      </c>
      <c r="I16" s="34"/>
      <c r="J16" s="34"/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9.2799999999999994</v>
      </c>
      <c r="Q16">
        <v>1</v>
      </c>
      <c r="R16" s="31">
        <f>((SUMIF(G16:G1016,D3,Hoja3!A1:A1001)+SUMIF(H16:H1016,D3,Hoja3!B1:B1001)+SUMIF(I16:I1016,D3,Hoja3!C1:C1001)+SUMIF(J16:J1016,D3,Hoja3!D1:D1001))/1000)*1.05</f>
        <v>101.10450000000002</v>
      </c>
      <c r="S16" s="32" t="str">
        <f>A3</f>
        <v>blanco 045</v>
      </c>
    </row>
    <row r="17" spans="1:19" ht="15.75" x14ac:dyDescent="0.25">
      <c r="A17" s="21">
        <v>9117152</v>
      </c>
      <c r="B17" s="41">
        <v>6</v>
      </c>
      <c r="C17" s="23">
        <v>566</v>
      </c>
      <c r="D17" s="24">
        <v>300</v>
      </c>
      <c r="E17" s="25" t="s">
        <v>29</v>
      </c>
      <c r="F17" s="25"/>
      <c r="G17" s="34">
        <v>1</v>
      </c>
      <c r="H17" s="34">
        <v>1</v>
      </c>
      <c r="I17" s="34"/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6.7919999999999998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2</v>
      </c>
      <c r="C18" s="23">
        <v>544</v>
      </c>
      <c r="D18" s="24">
        <v>300</v>
      </c>
      <c r="E18" s="25" t="s">
        <v>30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2.1760000000000002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2</v>
      </c>
      <c r="C19" s="23">
        <v>1160</v>
      </c>
      <c r="D19" s="24">
        <v>300</v>
      </c>
      <c r="E19" s="25" t="s">
        <v>31</v>
      </c>
      <c r="F19" s="25"/>
      <c r="G19" s="34">
        <v>1</v>
      </c>
      <c r="H19" s="34">
        <v>1</v>
      </c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4.6399999999999997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4</v>
      </c>
      <c r="C20" s="23">
        <v>282</v>
      </c>
      <c r="D20" s="24">
        <v>300</v>
      </c>
      <c r="E20" s="25" t="s">
        <v>29</v>
      </c>
      <c r="F20" s="25"/>
      <c r="G20" s="34">
        <v>1</v>
      </c>
      <c r="H20" s="34">
        <v>1</v>
      </c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2.2559999999999998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598</v>
      </c>
      <c r="D21" s="24">
        <v>576</v>
      </c>
      <c r="E21" s="25" t="s">
        <v>32</v>
      </c>
      <c r="F21" s="25"/>
      <c r="G21" s="34">
        <v>1</v>
      </c>
      <c r="H21" s="34">
        <v>1</v>
      </c>
      <c r="I21" s="34">
        <v>1</v>
      </c>
      <c r="J21" s="34">
        <v>1</v>
      </c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1" s="30">
        <f t="shared" si="0"/>
        <v>4.6959999999999997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1</v>
      </c>
      <c r="C22" s="23">
        <v>918</v>
      </c>
      <c r="D22" s="24">
        <v>576</v>
      </c>
      <c r="E22" s="25" t="s">
        <v>32</v>
      </c>
      <c r="F22" s="25"/>
      <c r="G22" s="34">
        <v>1</v>
      </c>
      <c r="H22" s="34">
        <v>1</v>
      </c>
      <c r="I22" s="34">
        <v>1</v>
      </c>
      <c r="J22" s="34">
        <v>1</v>
      </c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2.988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6</v>
      </c>
      <c r="C23" s="23">
        <v>568</v>
      </c>
      <c r="D23" s="24">
        <v>300</v>
      </c>
      <c r="E23" s="25" t="s">
        <v>33</v>
      </c>
      <c r="F23" s="25"/>
      <c r="G23" s="34">
        <v>1</v>
      </c>
      <c r="H23" s="34"/>
      <c r="I23" s="34">
        <v>1</v>
      </c>
      <c r="J23" s="34"/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5.2080000000000002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6</v>
      </c>
      <c r="C24" s="23">
        <v>884</v>
      </c>
      <c r="D24" s="24">
        <v>300</v>
      </c>
      <c r="E24" s="25" t="s">
        <v>34</v>
      </c>
      <c r="F24" s="25"/>
      <c r="G24" s="34">
        <v>1</v>
      </c>
      <c r="H24" s="34">
        <v>1</v>
      </c>
      <c r="I24" s="34"/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10.608000000000001</v>
      </c>
      <c r="R24" s="35">
        <f>SUM(R16:R23)</f>
        <v>101.10450000000002</v>
      </c>
      <c r="S24" s="36" t="s">
        <v>26</v>
      </c>
    </row>
    <row r="25" spans="1:19" ht="15" x14ac:dyDescent="0.25">
      <c r="A25" s="21">
        <v>9117152</v>
      </c>
      <c r="B25" s="41">
        <v>6</v>
      </c>
      <c r="C25" s="23">
        <v>532</v>
      </c>
      <c r="D25" s="24">
        <v>300</v>
      </c>
      <c r="E25" s="25" t="s">
        <v>35</v>
      </c>
      <c r="F25" s="25"/>
      <c r="G25" s="34">
        <v>1</v>
      </c>
      <c r="H25" s="34">
        <v>1</v>
      </c>
      <c r="I25" s="34"/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6.3840000000000003</v>
      </c>
    </row>
    <row r="26" spans="1:19" ht="15" x14ac:dyDescent="0.25">
      <c r="A26" s="21">
        <v>9117152</v>
      </c>
      <c r="B26" s="40">
        <v>3</v>
      </c>
      <c r="C26" s="23">
        <v>918</v>
      </c>
      <c r="D26" s="24">
        <v>564</v>
      </c>
      <c r="E26" s="25" t="s">
        <v>36</v>
      </c>
      <c r="F26" s="25"/>
      <c r="G26" s="34">
        <v>1</v>
      </c>
      <c r="H26" s="34">
        <v>1</v>
      </c>
      <c r="I26" s="34">
        <v>1</v>
      </c>
      <c r="J26" s="34">
        <v>1</v>
      </c>
      <c r="K2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6" s="30">
        <f t="shared" si="0"/>
        <v>8.8919999999999995</v>
      </c>
    </row>
    <row r="27" spans="1:19" ht="15" x14ac:dyDescent="0.25">
      <c r="A27" s="21">
        <v>9117152</v>
      </c>
      <c r="B27" s="41">
        <v>2</v>
      </c>
      <c r="C27" s="23">
        <v>430</v>
      </c>
      <c r="D27" s="24">
        <v>300</v>
      </c>
      <c r="E27" s="25" t="s">
        <v>37</v>
      </c>
      <c r="F27" s="25"/>
      <c r="G27" s="34">
        <v>1</v>
      </c>
      <c r="H27" s="34">
        <v>1</v>
      </c>
      <c r="I27" s="34">
        <v>1</v>
      </c>
      <c r="J27" s="34">
        <v>1</v>
      </c>
      <c r="K2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7" s="30">
        <f t="shared" si="0"/>
        <v>2.92</v>
      </c>
    </row>
    <row r="28" spans="1:19" ht="15" x14ac:dyDescent="0.25">
      <c r="A28" s="21">
        <v>9117152</v>
      </c>
      <c r="B28" s="42">
        <v>2</v>
      </c>
      <c r="C28" s="23">
        <v>2075</v>
      </c>
      <c r="D28" s="24">
        <v>300</v>
      </c>
      <c r="E28" s="25" t="s">
        <v>34</v>
      </c>
      <c r="F28" s="25"/>
      <c r="G28" s="34">
        <v>1</v>
      </c>
      <c r="H28" s="34">
        <v>1</v>
      </c>
      <c r="I28" s="34"/>
      <c r="J28" s="34"/>
      <c r="K2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8.3000000000000007</v>
      </c>
    </row>
    <row r="29" spans="1:19" ht="15" x14ac:dyDescent="0.25">
      <c r="A29" s="21">
        <v>9117152</v>
      </c>
      <c r="B29" s="41">
        <v>1</v>
      </c>
      <c r="C29" s="23">
        <v>2107</v>
      </c>
      <c r="D29" s="24">
        <v>466</v>
      </c>
      <c r="E29" s="25" t="s">
        <v>38</v>
      </c>
      <c r="F29" s="25"/>
      <c r="G29" s="34">
        <v>1</v>
      </c>
      <c r="H29" s="34">
        <v>1</v>
      </c>
      <c r="I29" s="34">
        <v>1</v>
      </c>
      <c r="J29" s="34">
        <v>1</v>
      </c>
      <c r="K2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9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9" s="30">
        <f t="shared" si="0"/>
        <v>5.1459999999999999</v>
      </c>
    </row>
    <row r="30" spans="1:19" x14ac:dyDescent="0.2">
      <c r="A30" s="21">
        <v>9117152</v>
      </c>
      <c r="B30" s="22">
        <v>2</v>
      </c>
      <c r="C30" s="23">
        <v>430</v>
      </c>
      <c r="D30" s="24">
        <v>120</v>
      </c>
      <c r="E30" s="25" t="s">
        <v>39</v>
      </c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>
        <v>9117152</v>
      </c>
      <c r="B31" s="22">
        <v>2</v>
      </c>
      <c r="C31" s="23">
        <v>220</v>
      </c>
      <c r="D31" s="24">
        <v>120</v>
      </c>
      <c r="E31" s="25" t="s">
        <v>39</v>
      </c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>
        <v>9117152</v>
      </c>
      <c r="B32" s="22">
        <v>2</v>
      </c>
      <c r="C32" s="23">
        <v>712</v>
      </c>
      <c r="D32" s="24">
        <v>545</v>
      </c>
      <c r="E32" s="25" t="s">
        <v>40</v>
      </c>
      <c r="F32" s="25"/>
      <c r="G32" s="34">
        <v>1</v>
      </c>
      <c r="H32" s="34"/>
      <c r="I32" s="34"/>
      <c r="J32" s="34"/>
      <c r="K3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1.4239999999999999</v>
      </c>
    </row>
    <row r="33" spans="1:15" ht="15" x14ac:dyDescent="0.25">
      <c r="A33" s="21">
        <v>9117152</v>
      </c>
      <c r="B33" s="40">
        <v>1</v>
      </c>
      <c r="C33" s="23">
        <v>879</v>
      </c>
      <c r="D33" s="24">
        <v>545</v>
      </c>
      <c r="E33" s="25" t="s">
        <v>41</v>
      </c>
      <c r="F33" s="26"/>
      <c r="G33" s="34">
        <v>1</v>
      </c>
      <c r="H33" s="34"/>
      <c r="I33" s="34"/>
      <c r="J33" s="34"/>
      <c r="K3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0.879</v>
      </c>
    </row>
    <row r="34" spans="1:15" ht="15" x14ac:dyDescent="0.25">
      <c r="A34" s="21">
        <v>9117152</v>
      </c>
      <c r="B34" s="41">
        <v>1</v>
      </c>
      <c r="C34" s="23">
        <v>843</v>
      </c>
      <c r="D34" s="24">
        <v>545</v>
      </c>
      <c r="E34" s="25" t="s">
        <v>42</v>
      </c>
      <c r="F34" s="25"/>
      <c r="G34" s="34">
        <v>1</v>
      </c>
      <c r="H34" s="34"/>
      <c r="I34" s="34"/>
      <c r="J34" s="34"/>
      <c r="K3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0.84299999999999997</v>
      </c>
    </row>
    <row r="35" spans="1:15" ht="15" x14ac:dyDescent="0.25">
      <c r="A35" s="21">
        <v>9117152</v>
      </c>
      <c r="B35" s="40">
        <v>2</v>
      </c>
      <c r="C35" s="23">
        <v>843</v>
      </c>
      <c r="D35" s="24">
        <v>120</v>
      </c>
      <c r="E35" s="25" t="s">
        <v>43</v>
      </c>
      <c r="F35" s="25"/>
      <c r="G35" s="34">
        <v>1</v>
      </c>
      <c r="H35" s="34"/>
      <c r="I35" s="34"/>
      <c r="J35" s="34"/>
      <c r="K3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1.6859999999999999</v>
      </c>
    </row>
    <row r="36" spans="1:15" ht="15" x14ac:dyDescent="0.25">
      <c r="A36" s="21">
        <v>9117152</v>
      </c>
      <c r="B36" s="40">
        <v>1</v>
      </c>
      <c r="C36" s="23">
        <v>730</v>
      </c>
      <c r="D36" s="24">
        <v>150</v>
      </c>
      <c r="E36" s="25" t="s">
        <v>44</v>
      </c>
      <c r="F36" s="25"/>
      <c r="G36" s="34">
        <v>1</v>
      </c>
      <c r="H36" s="34">
        <v>1</v>
      </c>
      <c r="I36" s="34">
        <v>1</v>
      </c>
      <c r="J36" s="34">
        <v>1</v>
      </c>
      <c r="K3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6" s="30">
        <f t="shared" si="0"/>
        <v>1.76</v>
      </c>
    </row>
    <row r="37" spans="1:15" ht="15" x14ac:dyDescent="0.25">
      <c r="A37" s="21">
        <v>9117152</v>
      </c>
      <c r="B37" s="41">
        <v>2</v>
      </c>
      <c r="C37" s="23">
        <v>726</v>
      </c>
      <c r="D37" s="24">
        <v>435</v>
      </c>
      <c r="E37" s="25" t="s">
        <v>45</v>
      </c>
      <c r="F37" s="25"/>
      <c r="G37" s="34">
        <v>1</v>
      </c>
      <c r="H37" s="34">
        <v>1</v>
      </c>
      <c r="I37" s="34">
        <v>1</v>
      </c>
      <c r="J37" s="34">
        <v>1</v>
      </c>
      <c r="K3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7" s="30">
        <f t="shared" si="0"/>
        <v>4.6440000000000001</v>
      </c>
    </row>
    <row r="38" spans="1:15" ht="15" x14ac:dyDescent="0.25">
      <c r="A38" s="21">
        <v>9117152</v>
      </c>
      <c r="B38" s="40">
        <v>2</v>
      </c>
      <c r="C38" s="23">
        <v>726</v>
      </c>
      <c r="D38" s="24">
        <v>466</v>
      </c>
      <c r="E38" s="25" t="s">
        <v>46</v>
      </c>
      <c r="F38" s="25"/>
      <c r="G38" s="34">
        <v>1</v>
      </c>
      <c r="H38" s="34">
        <v>1</v>
      </c>
      <c r="I38" s="34">
        <v>1</v>
      </c>
      <c r="J38" s="34">
        <v>1</v>
      </c>
      <c r="K3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8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8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8" s="30">
        <f t="shared" si="0"/>
        <v>4.7679999999999998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4640</v>
      </c>
      <c r="B1">
        <f>Hoja1!B16*Hoja1!C16</f>
        <v>4640</v>
      </c>
      <c r="C1">
        <f>Hoja1!B16*Hoja1!D16</f>
        <v>2400</v>
      </c>
      <c r="D1">
        <f>Hoja1!B16*Hoja1!D16</f>
        <v>2400</v>
      </c>
    </row>
    <row r="2" spans="1:4" x14ac:dyDescent="0.2">
      <c r="A2">
        <f>Hoja1!B17*Hoja1!C17</f>
        <v>3396</v>
      </c>
      <c r="B2">
        <f>Hoja1!B17*Hoja1!C17</f>
        <v>3396</v>
      </c>
      <c r="C2">
        <f>Hoja1!B17*Hoja1!D17</f>
        <v>1800</v>
      </c>
      <c r="D2">
        <f>Hoja1!B17*Hoja1!D17</f>
        <v>1800</v>
      </c>
    </row>
    <row r="3" spans="1:4" x14ac:dyDescent="0.2">
      <c r="A3">
        <f>Hoja1!B18*Hoja1!C18</f>
        <v>1088</v>
      </c>
      <c r="B3">
        <f>Hoja1!B18*Hoja1!C18</f>
        <v>1088</v>
      </c>
      <c r="C3">
        <f>Hoja1!B18*Hoja1!D18</f>
        <v>600</v>
      </c>
      <c r="D3">
        <f>Hoja1!B18*Hoja1!D18</f>
        <v>600</v>
      </c>
    </row>
    <row r="4" spans="1:4" x14ac:dyDescent="0.2">
      <c r="A4">
        <f>Hoja1!B19*Hoja1!C19</f>
        <v>2320</v>
      </c>
      <c r="B4">
        <f>Hoja1!B19*Hoja1!C19</f>
        <v>2320</v>
      </c>
      <c r="C4">
        <f>Hoja1!B19*Hoja1!D19</f>
        <v>600</v>
      </c>
      <c r="D4">
        <f>Hoja1!B19*Hoja1!D19</f>
        <v>600</v>
      </c>
    </row>
    <row r="5" spans="1:4" x14ac:dyDescent="0.2">
      <c r="A5">
        <f>Hoja1!B20*Hoja1!C20</f>
        <v>1128</v>
      </c>
      <c r="B5">
        <f>Hoja1!B20*Hoja1!C20</f>
        <v>1128</v>
      </c>
      <c r="C5">
        <f>Hoja1!B20*Hoja1!D20</f>
        <v>1200</v>
      </c>
      <c r="D5">
        <f>Hoja1!B20*Hoja1!D20</f>
        <v>1200</v>
      </c>
    </row>
    <row r="6" spans="1:4" x14ac:dyDescent="0.2">
      <c r="A6">
        <f>Hoja1!B21*Hoja1!C21</f>
        <v>1196</v>
      </c>
      <c r="B6">
        <f>Hoja1!B21*Hoja1!C21</f>
        <v>1196</v>
      </c>
      <c r="C6">
        <f>Hoja1!B21*Hoja1!D21</f>
        <v>1152</v>
      </c>
      <c r="D6">
        <f>Hoja1!B21*Hoja1!D21</f>
        <v>1152</v>
      </c>
    </row>
    <row r="7" spans="1:4" x14ac:dyDescent="0.2">
      <c r="A7">
        <f>Hoja1!B22*Hoja1!C22</f>
        <v>918</v>
      </c>
      <c r="B7">
        <f>Hoja1!B22*Hoja1!C22</f>
        <v>918</v>
      </c>
      <c r="C7">
        <f>Hoja1!B22*Hoja1!D22</f>
        <v>576</v>
      </c>
      <c r="D7">
        <f>Hoja1!B22*Hoja1!D22</f>
        <v>576</v>
      </c>
    </row>
    <row r="8" spans="1:4" x14ac:dyDescent="0.2">
      <c r="A8">
        <f>Hoja1!B23*Hoja1!C23</f>
        <v>3408</v>
      </c>
      <c r="B8">
        <f>Hoja1!B23*Hoja1!C23</f>
        <v>3408</v>
      </c>
      <c r="C8">
        <f>Hoja1!B23*Hoja1!D23</f>
        <v>1800</v>
      </c>
      <c r="D8">
        <f>Hoja1!B23*Hoja1!D23</f>
        <v>1800</v>
      </c>
    </row>
    <row r="9" spans="1:4" x14ac:dyDescent="0.2">
      <c r="A9">
        <f>Hoja1!B24*Hoja1!C24</f>
        <v>5304</v>
      </c>
      <c r="B9">
        <f>Hoja1!B24*Hoja1!C24</f>
        <v>5304</v>
      </c>
      <c r="C9">
        <f>Hoja1!B24*Hoja1!D24</f>
        <v>1800</v>
      </c>
      <c r="D9">
        <f>Hoja1!B24*Hoja1!D24</f>
        <v>1800</v>
      </c>
    </row>
    <row r="10" spans="1:4" x14ac:dyDescent="0.2">
      <c r="A10">
        <f>Hoja1!B25*Hoja1!C25</f>
        <v>3192</v>
      </c>
      <c r="B10">
        <f>Hoja1!B25*Hoja1!C25</f>
        <v>3192</v>
      </c>
      <c r="C10">
        <f>Hoja1!B25*Hoja1!D25</f>
        <v>1800</v>
      </c>
      <c r="D10">
        <f>Hoja1!B25*Hoja1!D25</f>
        <v>1800</v>
      </c>
    </row>
    <row r="11" spans="1:4" x14ac:dyDescent="0.2">
      <c r="A11">
        <f>Hoja1!B26*Hoja1!C26</f>
        <v>2754</v>
      </c>
      <c r="B11">
        <f>Hoja1!B26*Hoja1!C26</f>
        <v>2754</v>
      </c>
      <c r="C11">
        <f>Hoja1!B26*Hoja1!D26</f>
        <v>1692</v>
      </c>
      <c r="D11">
        <f>Hoja1!B26*Hoja1!D26</f>
        <v>1692</v>
      </c>
    </row>
    <row r="12" spans="1:4" x14ac:dyDescent="0.2">
      <c r="A12">
        <f>Hoja1!B27*Hoja1!C27</f>
        <v>860</v>
      </c>
      <c r="B12">
        <f>Hoja1!B27*Hoja1!C27</f>
        <v>860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4150</v>
      </c>
      <c r="B13">
        <f>Hoja1!B28*Hoja1!C28</f>
        <v>4150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2107</v>
      </c>
      <c r="B14">
        <f>Hoja1!B29*Hoja1!C29</f>
        <v>2107</v>
      </c>
      <c r="C14">
        <f>Hoja1!B29*Hoja1!D29</f>
        <v>466</v>
      </c>
      <c r="D14">
        <f>Hoja1!B29*Hoja1!D29</f>
        <v>466</v>
      </c>
    </row>
    <row r="15" spans="1:4" x14ac:dyDescent="0.2">
      <c r="A15">
        <f>Hoja1!B30*Hoja1!C30</f>
        <v>860</v>
      </c>
      <c r="B15">
        <f>Hoja1!B30*Hoja1!C30</f>
        <v>860</v>
      </c>
      <c r="C15">
        <f>Hoja1!B30*Hoja1!D30</f>
        <v>240</v>
      </c>
      <c r="D15">
        <f>Hoja1!B30*Hoja1!D30</f>
        <v>240</v>
      </c>
    </row>
    <row r="16" spans="1:4" x14ac:dyDescent="0.2">
      <c r="A16">
        <f>Hoja1!B31*Hoja1!C31</f>
        <v>440</v>
      </c>
      <c r="B16">
        <f>Hoja1!B31*Hoja1!C31</f>
        <v>440</v>
      </c>
      <c r="C16">
        <f>Hoja1!B31*Hoja1!D31</f>
        <v>240</v>
      </c>
      <c r="D16">
        <f>Hoja1!B31*Hoja1!D31</f>
        <v>240</v>
      </c>
    </row>
    <row r="17" spans="1:4" x14ac:dyDescent="0.2">
      <c r="A17">
        <f>Hoja1!B32*Hoja1!C32</f>
        <v>1424</v>
      </c>
      <c r="B17">
        <f>Hoja1!B32*Hoja1!C32</f>
        <v>1424</v>
      </c>
      <c r="C17">
        <f>Hoja1!B32*Hoja1!D32</f>
        <v>1090</v>
      </c>
      <c r="D17">
        <f>Hoja1!B32*Hoja1!D32</f>
        <v>1090</v>
      </c>
    </row>
    <row r="18" spans="1:4" x14ac:dyDescent="0.2">
      <c r="A18">
        <f>Hoja1!B33*Hoja1!C33</f>
        <v>879</v>
      </c>
      <c r="B18">
        <f>Hoja1!B33*Hoja1!C33</f>
        <v>879</v>
      </c>
      <c r="C18">
        <f>Hoja1!B33*Hoja1!D33</f>
        <v>545</v>
      </c>
      <c r="D18">
        <f>Hoja1!B33*Hoja1!D33</f>
        <v>545</v>
      </c>
    </row>
    <row r="19" spans="1:4" x14ac:dyDescent="0.2">
      <c r="A19">
        <f>Hoja1!B34*Hoja1!C34</f>
        <v>843</v>
      </c>
      <c r="B19">
        <f>Hoja1!B34*Hoja1!C34</f>
        <v>843</v>
      </c>
      <c r="C19">
        <f>Hoja1!B34*Hoja1!D34</f>
        <v>545</v>
      </c>
      <c r="D19">
        <f>Hoja1!B34*Hoja1!D34</f>
        <v>545</v>
      </c>
    </row>
    <row r="20" spans="1:4" x14ac:dyDescent="0.2">
      <c r="A20">
        <f>Hoja1!B35*Hoja1!C35</f>
        <v>1686</v>
      </c>
      <c r="B20">
        <f>Hoja1!B35*Hoja1!C35</f>
        <v>1686</v>
      </c>
      <c r="C20">
        <f>Hoja1!B35*Hoja1!D35</f>
        <v>240</v>
      </c>
      <c r="D20">
        <f>Hoja1!B35*Hoja1!D35</f>
        <v>240</v>
      </c>
    </row>
    <row r="21" spans="1:4" x14ac:dyDescent="0.2">
      <c r="A21">
        <f>Hoja1!B36*Hoja1!C36</f>
        <v>730</v>
      </c>
      <c r="B21">
        <f>Hoja1!B36*Hoja1!C36</f>
        <v>730</v>
      </c>
      <c r="C21">
        <f>Hoja1!B36*Hoja1!D36</f>
        <v>150</v>
      </c>
      <c r="D21">
        <f>Hoja1!B36*Hoja1!D36</f>
        <v>150</v>
      </c>
    </row>
    <row r="22" spans="1:4" x14ac:dyDescent="0.2">
      <c r="A22">
        <f>Hoja1!B37*Hoja1!C37</f>
        <v>1452</v>
      </c>
      <c r="B22">
        <f>Hoja1!B37*Hoja1!C37</f>
        <v>1452</v>
      </c>
      <c r="C22">
        <f>Hoja1!B37*Hoja1!D37</f>
        <v>870</v>
      </c>
      <c r="D22">
        <f>Hoja1!B37*Hoja1!D37</f>
        <v>870</v>
      </c>
    </row>
    <row r="23" spans="1:4" x14ac:dyDescent="0.2">
      <c r="A23">
        <f>Hoja1!B38*Hoja1!C38</f>
        <v>1452</v>
      </c>
      <c r="B23">
        <f>Hoja1!B38*Hoja1!C38</f>
        <v>1452</v>
      </c>
      <c r="C23">
        <f>Hoja1!B38*Hoja1!D38</f>
        <v>932</v>
      </c>
      <c r="D23">
        <f>Hoja1!B38*Hoja1!D38</f>
        <v>932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2024-10-15T16:04:27Z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