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denis peluqueria\"/>
    </mc:Choice>
  </mc:AlternateContent>
  <xr:revisionPtr revIDLastSave="0" documentId="13_ncr:1_{69F09DE0-889D-4034-80E3-EE969EF7330F}" xr6:coauthVersionLast="47" xr6:coauthVersionMax="47" xr10:uidLastSave="{00000000-0000-0000-0000-000000000000}"/>
  <bookViews>
    <workbookView xWindow="1605" yWindow="2220" windowWidth="21600" windowHeight="11385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<sst xmlns="http://schemas.openxmlformats.org/spreadsheetml/2006/main" count="46" uniqueCount="34">
  <si>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</si>
  <si>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</si>
  <si>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</si>
  <si>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</si>
  <si>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</si>
  <si>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</si>
  <si>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</si>
  <si>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</si>
  <si>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</si>
  <si>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</si>
  <si>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</si>
  <si>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</si>
  <si>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</si>
  <si>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</si>
  <si>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</si>
  <si>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</si>
  <si>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</si>
  <si>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</si>
  <si>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</si>
  <si>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</si>
  <si>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</si>
  <si>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</si>
  <si>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</si>
  <si>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</si>
  <si>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</si>
  <si>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</si>
  <si>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</si>
  <si>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040 NEGRO</t>
  </si>
  <si>
    <t xml:space="preserve">fondo </t>
  </si>
  <si>
    <t>puerta</t>
  </si>
  <si>
    <t>varillado</t>
  </si>
  <si>
    <t>soporte</t>
  </si>
  <si>
    <t>soporte puerta</t>
  </si>
  <si>
    <t xml:space="preserve">final para 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</si>
</sst>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A27" sqref="A2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160.34</v>
      </c>
      <c r="F3" s="51">
        <v>9119872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>
        <v>9134116</v>
      </c>
      <c r="G4" s="45"/>
      <c r="H4" s="45"/>
      <c r="I4" s="45"/>
      <c r="J4" s="45"/>
      <c r="K4" s="45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32.743200000000002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1</v>
      </c>
      <c r="C16" s="23">
        <v>2544</v>
      </c>
      <c r="D16" s="24">
        <v>662</v>
      </c>
      <c r="E16" s="25" t="s">
        <v>28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6" s="33">
        <f t="shared" ref="O16:O79" si="0">(IF(G16&gt;0,C16,0)+IF(H16&gt;0,C16,0)+IF(I16&gt;0,D16,0)+IF(J16&gt;0,D16,0))*B16/1000</f>
        <v>6.4119999999999999</v>
      </c>
      <c r="Q16">
        <v>1</v>
      </c>
      <c r="R16" s="34">
        <f>((SUMIF(G16:G1016,D3,Hoja3!A1:A1001)+SUMIF(H16:H1016,D3,Hoja3!B1:B1001)+SUMIF(I16:I1016,D3,Hoja3!C1:C1001)+SUMIF(J16:J1016,D3,Hoja3!D1:D1001))/1000)*1.05</f>
        <v>32.743200000000002</v>
      </c>
      <c r="S16" s="35" t="str">
        <f t="shared" ref="S16:S23" si="1">A3</f>
        <v>040 NEGRO</v>
      </c>
    </row>
    <row r="17" spans="1:19" ht="15.75" x14ac:dyDescent="0.25">
      <c r="A17" s="21">
        <v>9119872</v>
      </c>
      <c r="B17" s="22">
        <v>1</v>
      </c>
      <c r="C17" s="23">
        <v>2540</v>
      </c>
      <c r="D17" s="24">
        <v>538</v>
      </c>
      <c r="E17" s="25" t="s">
        <v>29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7" s="33">
        <f t="shared" si="0"/>
        <v>6.1559999999999997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1</v>
      </c>
      <c r="C18" s="23">
        <v>2544</v>
      </c>
      <c r="D18" s="24">
        <v>204</v>
      </c>
      <c r="E18" s="25" t="s">
        <v>28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8" s="33">
        <f t="shared" si="0"/>
        <v>5.4960000000000004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9134116</v>
      </c>
      <c r="B19" s="22">
        <v>18</v>
      </c>
      <c r="C19" s="23">
        <v>2544</v>
      </c>
      <c r="D19" s="24">
        <v>50</v>
      </c>
      <c r="E19" s="25" t="s">
        <v>30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9134116</v>
      </c>
      <c r="B20" s="22">
        <v>8</v>
      </c>
      <c r="C20" s="23">
        <v>2540</v>
      </c>
      <c r="D20" s="24">
        <v>50</v>
      </c>
      <c r="E20" s="25" t="s">
        <v>30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9134116</v>
      </c>
      <c r="B21" s="22">
        <v>6</v>
      </c>
      <c r="C21" s="23">
        <v>204</v>
      </c>
      <c r="D21" s="24">
        <v>70</v>
      </c>
      <c r="E21" s="25" t="s">
        <v>31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9134116</v>
      </c>
      <c r="B22" s="22">
        <v>6</v>
      </c>
      <c r="C22" s="23">
        <v>662</v>
      </c>
      <c r="D22" s="24">
        <v>70</v>
      </c>
      <c r="E22" s="25" t="s">
        <v>31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9119872</v>
      </c>
      <c r="B23" s="22">
        <v>2</v>
      </c>
      <c r="C23" s="23">
        <v>2544</v>
      </c>
      <c r="D23" s="24">
        <v>70</v>
      </c>
      <c r="E23" s="25" t="s">
        <v>32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5.0880000000000001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9119872</v>
      </c>
      <c r="B24" s="22">
        <v>1</v>
      </c>
      <c r="C24" s="23">
        <v>2544</v>
      </c>
      <c r="D24" s="24">
        <v>90</v>
      </c>
      <c r="E24" s="25" t="s">
        <v>33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2.544</v>
      </c>
      <c r="R24" s="38">
        <f>SUM(R16:R23)</f>
        <v>32.743200000000002</v>
      </c>
      <c r="S24" s="39" t="s">
        <v>26</v>
      </c>
    </row>
    <row r="25" spans="1:19" x14ac:dyDescent="0.2">
      <c r="A25" s="21">
        <v>9119872</v>
      </c>
      <c r="B25" s="22">
        <v>1</v>
      </c>
      <c r="C25" s="23">
        <v>2544</v>
      </c>
      <c r="D25" s="24">
        <v>200</v>
      </c>
      <c r="E25" s="25" t="s">
        <v>28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5" s="33">
        <f t="shared" si="0"/>
        <v>5.4880000000000004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2544</v>
      </c>
      <c r="B1">
        <f>Hoja1!B16*Hoja1!C16</f>
        <v>2544</v>
      </c>
      <c r="C1">
        <f>Hoja1!B16*Hoja1!D16</f>
        <v>662</v>
      </c>
      <c r="D1">
        <f>Hoja1!B16*Hoja1!D16</f>
        <v>662</v>
      </c>
    </row>
    <row r="2" spans="1:4" x14ac:dyDescent="0.2">
      <c r="A2">
        <f>Hoja1!B17*Hoja1!C17</f>
        <v>2540</v>
      </c>
      <c r="B2">
        <f>Hoja1!B17*Hoja1!C17</f>
        <v>2540</v>
      </c>
      <c r="C2">
        <f>Hoja1!B17*Hoja1!D17</f>
        <v>538</v>
      </c>
      <c r="D2">
        <f>Hoja1!B17*Hoja1!D17</f>
        <v>538</v>
      </c>
    </row>
    <row r="3" spans="1:4" x14ac:dyDescent="0.2">
      <c r="A3">
        <f>Hoja1!B18*Hoja1!C18</f>
        <v>2544</v>
      </c>
      <c r="B3">
        <f>Hoja1!B18*Hoja1!C18</f>
        <v>2544</v>
      </c>
      <c r="C3">
        <f>Hoja1!B18*Hoja1!D18</f>
        <v>204</v>
      </c>
      <c r="D3">
        <f>Hoja1!B18*Hoja1!D18</f>
        <v>204</v>
      </c>
    </row>
    <row r="4" spans="1:4" x14ac:dyDescent="0.2">
      <c r="A4">
        <f>Hoja1!B19*Hoja1!C19</f>
        <v>45792</v>
      </c>
      <c r="B4">
        <f>Hoja1!B19*Hoja1!C19</f>
        <v>45792</v>
      </c>
      <c r="C4">
        <f>Hoja1!B19*Hoja1!D19</f>
        <v>900</v>
      </c>
      <c r="D4">
        <f>Hoja1!B19*Hoja1!D19</f>
        <v>900</v>
      </c>
    </row>
    <row r="5" spans="1:4" x14ac:dyDescent="0.2">
      <c r="A5">
        <f>Hoja1!B20*Hoja1!C20</f>
        <v>20320</v>
      </c>
      <c r="B5">
        <f>Hoja1!B20*Hoja1!C20</f>
        <v>20320</v>
      </c>
      <c r="C5">
        <f>Hoja1!B20*Hoja1!D20</f>
        <v>400</v>
      </c>
      <c r="D5">
        <f>Hoja1!B20*Hoja1!D20</f>
        <v>400</v>
      </c>
    </row>
    <row r="6" spans="1:4" x14ac:dyDescent="0.2">
      <c r="A6">
        <f>Hoja1!B21*Hoja1!C21</f>
        <v>1224</v>
      </c>
      <c r="B6">
        <f>Hoja1!B21*Hoja1!C21</f>
        <v>1224</v>
      </c>
      <c r="C6">
        <f>Hoja1!B21*Hoja1!D21</f>
        <v>420</v>
      </c>
      <c r="D6">
        <f>Hoja1!B21*Hoja1!D21</f>
        <v>420</v>
      </c>
    </row>
    <row r="7" spans="1:4" x14ac:dyDescent="0.2">
      <c r="A7">
        <f>Hoja1!B22*Hoja1!C22</f>
        <v>3972</v>
      </c>
      <c r="B7">
        <f>Hoja1!B22*Hoja1!C22</f>
        <v>3972</v>
      </c>
      <c r="C7">
        <f>Hoja1!B22*Hoja1!D22</f>
        <v>420</v>
      </c>
      <c r="D7">
        <f>Hoja1!B22*Hoja1!D22</f>
        <v>420</v>
      </c>
    </row>
    <row r="8" spans="1:4" x14ac:dyDescent="0.2">
      <c r="A8">
        <f>Hoja1!B23*Hoja1!C23</f>
        <v>5088</v>
      </c>
      <c r="B8">
        <f>Hoja1!B23*Hoja1!C23</f>
        <v>5088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2544</v>
      </c>
      <c r="B9">
        <f>Hoja1!B24*Hoja1!C24</f>
        <v>2544</v>
      </c>
      <c r="C9">
        <f>Hoja1!B24*Hoja1!D24</f>
        <v>90</v>
      </c>
      <c r="D9">
        <f>Hoja1!B24*Hoja1!D24</f>
        <v>90</v>
      </c>
    </row>
    <row r="10" spans="1:4" x14ac:dyDescent="0.2">
      <c r="A10">
        <f>Hoja1!B25*Hoja1!C25</f>
        <v>2544</v>
      </c>
      <c r="B10">
        <f>Hoja1!B25*Hoja1!C25</f>
        <v>2544</v>
      </c>
      <c r="C10">
        <f>Hoja1!B25*Hoja1!D25</f>
        <v>200</v>
      </c>
      <c r="D10">
        <f>Hoja1!B25*Hoja1!D25</f>
        <v>200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2025-03-05T14:34:14Z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