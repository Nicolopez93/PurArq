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casa alegra\"/>
    </mc:Choice>
  </mc:AlternateContent>
  <xr:revisionPtr revIDLastSave="0" documentId="13_ncr:1_{305E8EEC-488B-4C08-8AE0-AA79EBF79082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<sst xmlns="http://schemas.openxmlformats.org/spreadsheetml/2006/main" count="45" uniqueCount="36">
  <si>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</si>
  <si>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</si>
  <si>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</si>
  <si>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</si>
  <si>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</si>
  <si>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</si>
  <si>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</si>
  <si>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</si>
  <si>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</si>
  <si>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</si>
  <si>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</si>
  <si>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</si>
  <si>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</si>
  <si>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</si>
  <si>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</si>
  <si>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</si>
  <si>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</si>
  <si>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</si>
  <si>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</si>
  <si>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</si>
  <si>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</si>
  <si>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</si>
  <si>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</si>
  <si>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</si>
  <si>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</si>
  <si>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</si>
  <si>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</si>
  <si>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negro</t>
  </si>
  <si>
    <t>lat lava ropa</t>
  </si>
  <si>
    <t>puerta</t>
  </si>
  <si>
    <t>base lava ropa</t>
  </si>
  <si>
    <t>base 1</t>
  </si>
  <si>
    <t>lat 1</t>
  </si>
  <si>
    <t>estane</t>
  </si>
  <si>
    <t>puerta 1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</si>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</sst>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24" sqref="A24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27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125.48399999999999</v>
      </c>
      <c r="F3" s="52">
        <v>9119872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/>
      <c r="B4" s="45"/>
      <c r="C4" s="45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6"/>
      <c r="G4" s="46"/>
      <c r="H4" s="46"/>
      <c r="I4" s="46"/>
      <c r="J4" s="46"/>
      <c r="K4" s="46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/>
      <c r="G5" s="46"/>
      <c r="H5" s="46"/>
      <c r="I5" s="46"/>
      <c r="J5" s="46"/>
      <c r="K5" s="46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25.790100000000002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2</v>
      </c>
      <c r="C16" s="23">
        <v>877</v>
      </c>
      <c r="D16" s="24">
        <v>230</v>
      </c>
      <c r="E16" s="25" t="s">
        <v>28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3.508</v>
      </c>
      <c r="Q16">
        <v>1</v>
      </c>
      <c r="R16" s="34">
        <f>((SUMIF(G16:G1016,D3,Hoja3!A1:A1001)+SUMIF(H16:H1016,D3,Hoja3!B1:B1001)+SUMIF(I16:I1016,D3,Hoja3!C1:C1001)+SUMIF(J16:J1016,D3,Hoja3!D1:D1001))/1000)*1.05</f>
        <v>25.790100000000002</v>
      </c>
      <c r="S16" s="35" t="str">
        <f t="shared" ref="S16:S23" si="1">A3</f>
        <v>045 negro</v>
      </c>
    </row>
    <row r="17" spans="1:19" ht="15.75" x14ac:dyDescent="0.25">
      <c r="A17" s="21">
        <v>9119872</v>
      </c>
      <c r="B17" s="22">
        <v>2</v>
      </c>
      <c r="C17" s="23">
        <v>660</v>
      </c>
      <c r="D17" s="24">
        <v>230</v>
      </c>
      <c r="E17" s="25" t="s">
        <v>30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7" s="33">
        <f t="shared" si="0"/>
        <v>2.2400000000000002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9119872</v>
      </c>
      <c r="B18" s="22">
        <v>1</v>
      </c>
      <c r="C18" s="23">
        <v>909</v>
      </c>
      <c r="D18" s="24">
        <v>656</v>
      </c>
      <c r="E18" s="25" t="s">
        <v>29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8" s="33">
        <f t="shared" si="0"/>
        <v>3.13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9119872</v>
      </c>
      <c r="B19" s="22">
        <v>2</v>
      </c>
      <c r="C19" s="23">
        <v>500</v>
      </c>
      <c r="D19" s="24">
        <v>450</v>
      </c>
      <c r="E19" s="25" t="s">
        <v>31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9" s="33">
        <f t="shared" si="0"/>
        <v>2.8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9119872</v>
      </c>
      <c r="B20" s="22">
        <v>2</v>
      </c>
      <c r="C20" s="23">
        <v>1894</v>
      </c>
      <c r="D20" s="24">
        <v>450</v>
      </c>
      <c r="E20" s="25" t="s">
        <v>32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7.5759999999999996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9119872</v>
      </c>
      <c r="B21" s="22">
        <v>1</v>
      </c>
      <c r="C21" s="23">
        <v>464</v>
      </c>
      <c r="D21" s="24">
        <v>450</v>
      </c>
      <c r="E21" s="25" t="s">
        <v>33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0.46400000000000002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>
        <v>9119872</v>
      </c>
      <c r="B22" s="22">
        <v>1</v>
      </c>
      <c r="C22" s="23">
        <v>1926</v>
      </c>
      <c r="D22" s="24">
        <v>496</v>
      </c>
      <c r="E22" s="25" t="s">
        <v>34</v>
      </c>
      <c r="F22" s="25"/>
      <c r="G22" s="37">
        <v>1</v>
      </c>
      <c r="H22" s="37">
        <v>1</v>
      </c>
      <c r="I22" s="37">
        <v>1</v>
      </c>
      <c r="J22" s="37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2" s="33">
        <f t="shared" si="0"/>
        <v>4.8440000000000003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>
        <v>9119872</v>
      </c>
      <c r="B23" s="22">
        <v>2</v>
      </c>
      <c r="C23" s="23">
        <v>500</v>
      </c>
      <c r="D23" s="24">
        <v>70</v>
      </c>
      <c r="E23" s="25" t="s">
        <v>35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>
        <v>9119872</v>
      </c>
      <c r="B24" s="22">
        <v>2</v>
      </c>
      <c r="C24" s="23">
        <v>400</v>
      </c>
      <c r="D24" s="24">
        <v>70</v>
      </c>
      <c r="E24" s="25" t="s">
        <v>35</v>
      </c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25.790100000000002</v>
      </c>
      <c r="S24" s="39" t="s">
        <v>26</v>
      </c>
    </row>
    <row r="25" spans="1:19" ht="14.25" x14ac:dyDescent="0.2">
      <c r="A25" s="43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4.25" x14ac:dyDescent="0.2">
      <c r="A26" s="43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1754</v>
      </c>
      <c r="B1">
        <f>Hoja1!B16*Hoja1!C16</f>
        <v>1754</v>
      </c>
      <c r="C1">
        <f>Hoja1!B16*Hoja1!D16</f>
        <v>460</v>
      </c>
      <c r="D1">
        <f>Hoja1!B16*Hoja1!D16</f>
        <v>460</v>
      </c>
    </row>
    <row r="2" spans="1:4" x14ac:dyDescent="0.2">
      <c r="A2">
        <f>Hoja1!B17*Hoja1!C17</f>
        <v>1320</v>
      </c>
      <c r="B2">
        <f>Hoja1!B17*Hoja1!C17</f>
        <v>1320</v>
      </c>
      <c r="C2">
        <f>Hoja1!B17*Hoja1!D17</f>
        <v>460</v>
      </c>
      <c r="D2">
        <f>Hoja1!B17*Hoja1!D17</f>
        <v>460</v>
      </c>
    </row>
    <row r="3" spans="1:4" x14ac:dyDescent="0.2">
      <c r="A3">
        <f>Hoja1!B18*Hoja1!C18</f>
        <v>909</v>
      </c>
      <c r="B3">
        <f>Hoja1!B18*Hoja1!C18</f>
        <v>909</v>
      </c>
      <c r="C3">
        <f>Hoja1!B18*Hoja1!D18</f>
        <v>656</v>
      </c>
      <c r="D3">
        <f>Hoja1!B18*Hoja1!D18</f>
        <v>656</v>
      </c>
    </row>
    <row r="4" spans="1:4" x14ac:dyDescent="0.2">
      <c r="A4">
        <f>Hoja1!B19*Hoja1!C19</f>
        <v>1000</v>
      </c>
      <c r="B4">
        <f>Hoja1!B19*Hoja1!C19</f>
        <v>1000</v>
      </c>
      <c r="C4">
        <f>Hoja1!B19*Hoja1!D19</f>
        <v>900</v>
      </c>
      <c r="D4">
        <f>Hoja1!B19*Hoja1!D19</f>
        <v>900</v>
      </c>
    </row>
    <row r="5" spans="1:4" x14ac:dyDescent="0.2">
      <c r="A5">
        <f>Hoja1!B20*Hoja1!C20</f>
        <v>3788</v>
      </c>
      <c r="B5">
        <f>Hoja1!B20*Hoja1!C20</f>
        <v>3788</v>
      </c>
      <c r="C5">
        <f>Hoja1!B20*Hoja1!D20</f>
        <v>900</v>
      </c>
      <c r="D5">
        <f>Hoja1!B20*Hoja1!D20</f>
        <v>900</v>
      </c>
    </row>
    <row r="6" spans="1:4" x14ac:dyDescent="0.2">
      <c r="A6">
        <f>Hoja1!B21*Hoja1!C21</f>
        <v>464</v>
      </c>
      <c r="B6">
        <f>Hoja1!B21*Hoja1!C21</f>
        <v>464</v>
      </c>
      <c r="C6">
        <f>Hoja1!B21*Hoja1!D21</f>
        <v>450</v>
      </c>
      <c r="D6">
        <f>Hoja1!B21*Hoja1!D21</f>
        <v>450</v>
      </c>
    </row>
    <row r="7" spans="1:4" x14ac:dyDescent="0.2">
      <c r="A7">
        <f>Hoja1!B22*Hoja1!C22</f>
        <v>1926</v>
      </c>
      <c r="B7">
        <f>Hoja1!B22*Hoja1!C22</f>
        <v>1926</v>
      </c>
      <c r="C7">
        <f>Hoja1!B22*Hoja1!D22</f>
        <v>496</v>
      </c>
      <c r="D7">
        <f>Hoja1!B22*Hoja1!D22</f>
        <v>496</v>
      </c>
    </row>
    <row r="8" spans="1:4" x14ac:dyDescent="0.2">
      <c r="A8">
        <f>Hoja1!B23*Hoja1!C23</f>
        <v>1000</v>
      </c>
      <c r="B8">
        <f>Hoja1!B23*Hoja1!C23</f>
        <v>1000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800</v>
      </c>
      <c r="B9">
        <f>Hoja1!B24*Hoja1!C24</f>
        <v>800</v>
      </c>
      <c r="C9">
        <f>Hoja1!B24*Hoja1!D24</f>
        <v>140</v>
      </c>
      <c r="D9">
        <f>Hoja1!B24*Hoja1!D24</f>
        <v>140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2025-04-11T19:48:34Z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