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andres kemper\"/>
    </mc:Choice>
  </mc:AlternateContent>
  <xr:revisionPtr revIDLastSave="0" documentId="13_ncr:1_{CA6850D2-4FCA-46B8-891B-C237D7CB223D}" xr6:coauthVersionLast="47" xr6:coauthVersionMax="47" xr10:uidLastSave="{00000000-0000-0000-0000-000000000000}"/>
  <bookViews>
    <workbookView xWindow="-20490" yWindow="525" windowWidth="21600" windowHeight="11385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<sst xmlns="http://schemas.openxmlformats.org/spreadsheetml/2006/main" count="44" uniqueCount="33">
  <si>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</si>
  <si>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</si>
  <si>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</si>
  <si>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</si>
  <si>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</si>
  <si>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</si>
  <si>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</si>
  <si>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</si>
  <si>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</si>
  <si>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</si>
  <si>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</si>
  <si>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</si>
  <si>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</si>
  <si>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</si>
  <si>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</si>
  <si>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</si>
  <si>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</si>
  <si>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</si>
  <si>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</si>
  <si>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</si>
  <si>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</si>
  <si>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</si>
  <si>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</si>
  <si>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</si>
  <si>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</si>
  <si>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</si>
  <si>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</si>
  <si>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</si>
  <si>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</si>
  <si>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prin</t>
  </si>
  <si>
    <t>lat princ</t>
  </si>
  <si>
    <t>fondo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</si>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</sst>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A20" sqref="A2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0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0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1756</v>
      </c>
      <c r="D16" s="24">
        <v>700</v>
      </c>
      <c r="E16" s="25" t="s">
        <v>29</v>
      </c>
      <c r="F16" s="26"/>
      <c r="G16" s="27"/>
      <c r="H16" s="28"/>
      <c r="I16" s="28"/>
      <c r="J16" s="29"/>
      <c r="K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0</v>
      </c>
      <c r="Q16">
        <v>1</v>
      </c>
      <c r="R16" s="34">
        <f>((SUMIF(G16:G1016,D3,Hoja3!A1:A1001)+SUMIF(H16:H1016,D3,Hoja3!B1:B1001)+SUMIF(I16:I1016,D3,Hoja3!C1:C1001)+SUMIF(J16:J1016,D3,Hoja3!D1:D1001))/1000)*1.05</f>
        <v>0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694</v>
      </c>
      <c r="D17" s="24">
        <v>680</v>
      </c>
      <c r="E17" s="25" t="s">
        <v>30</v>
      </c>
      <c r="F17" s="25"/>
      <c r="G17" s="36"/>
      <c r="H17" s="36"/>
      <c r="I17" s="36"/>
      <c r="J17" s="36"/>
      <c r="K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694</v>
      </c>
      <c r="D18" s="24">
        <v>1684</v>
      </c>
      <c r="E18" s="25" t="s">
        <v>31</v>
      </c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100</v>
      </c>
      <c r="D19" s="24">
        <v>1684</v>
      </c>
      <c r="E19" s="25" t="s">
        <v>32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/>
      <c r="B20" s="22"/>
      <c r="C20" s="23"/>
      <c r="D20" s="24"/>
      <c r="E20" s="25"/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0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3512</v>
      </c>
      <c r="B1">
        <f>Hoja1!B16*Hoja1!C16</f>
        <v>3512</v>
      </c>
      <c r="C1">
        <f>Hoja1!B16*Hoja1!D16</f>
        <v>1400</v>
      </c>
      <c r="D1">
        <f>Hoja1!B16*Hoja1!D16</f>
        <v>1400</v>
      </c>
    </row>
    <row r="2" spans="1:4" x14ac:dyDescent="0.2">
      <c r="A2">
        <f>Hoja1!B17*Hoja1!C17</f>
        <v>2776</v>
      </c>
      <c r="B2">
        <f>Hoja1!B17*Hoja1!C17</f>
        <v>2776</v>
      </c>
      <c r="C2">
        <f>Hoja1!B17*Hoja1!D17</f>
        <v>2720</v>
      </c>
      <c r="D2">
        <f>Hoja1!B17*Hoja1!D17</f>
        <v>2720</v>
      </c>
    </row>
    <row r="3" spans="1:4" x14ac:dyDescent="0.2">
      <c r="A3">
        <f>Hoja1!B18*Hoja1!C18</f>
        <v>694</v>
      </c>
      <c r="B3">
        <f>Hoja1!B18*Hoja1!C18</f>
        <v>694</v>
      </c>
      <c r="C3">
        <f>Hoja1!B18*Hoja1!D18</f>
        <v>1684</v>
      </c>
      <c r="D3">
        <f>Hoja1!B18*Hoja1!D18</f>
        <v>1684</v>
      </c>
    </row>
    <row r="4" spans="1:4" x14ac:dyDescent="0.2">
      <c r="A4">
        <f>Hoja1!B19*Hoja1!C19</f>
        <v>100</v>
      </c>
      <c r="B4">
        <f>Hoja1!B19*Hoja1!C19</f>
        <v>100</v>
      </c>
      <c r="C4">
        <f>Hoja1!B19*Hoja1!D19</f>
        <v>1684</v>
      </c>
      <c r="D4">
        <f>Hoja1!B19*Hoja1!D19</f>
        <v>1684</v>
      </c>
    </row>
    <row r="5" spans="1:4" x14ac:dyDescent="0.2">
      <c r="A5">
        <f>Hoja1!B20*Hoja1!C20</f>
        <v>0</v>
      </c>
      <c r="B5">
        <f>Hoja1!B20*Hoja1!C20</f>
        <v>0</v>
      </c>
      <c r="C5">
        <f>Hoja1!B20*Hoja1!D20</f>
        <v>0</v>
      </c>
      <c r="D5">
        <f>Hoja1!B20*Hoja1!D20</f>
        <v>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2025-07-02T18:13:26Z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