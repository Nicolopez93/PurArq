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alta\humberto primo\"/>
    </mc:Choice>
  </mc:AlternateContent>
  <xr:revisionPtr revIDLastSave="0" documentId="13_ncr:1_{885168CE-295A-46F6-BBD8-455BFEE83B10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<sst xmlns="http://schemas.openxmlformats.org/spreadsheetml/2006/main" count="57" uniqueCount="41">
  <si>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</si>
  <si>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</si>
  <si>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</si>
  <si>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</si>
  <si>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</si>
  <si>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</si>
  <si>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</si>
  <si>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</si>
  <si>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</si>
  <si>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</si>
  <si>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</si>
  <si>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</si>
  <si>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</si>
  <si>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</si>
  <si>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</si>
  <si>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</si>
  <si>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</si>
  <si>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</si>
  <si>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</si>
  <si>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</si>
  <si>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</si>
  <si>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</si>
  <si>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</si>
  <si>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</si>
  <si>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</si>
  <si>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</si>
  <si>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</si>
  <si>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</si>
  <si>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</si>
  <si>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2</t>
  </si>
  <si>
    <t>base 3</t>
  </si>
  <si>
    <t>base 4</t>
  </si>
  <si>
    <t>puertas 1</t>
  </si>
  <si>
    <t>puertas 2</t>
  </si>
  <si>
    <t>puertas 3</t>
  </si>
  <si>
    <t>puertas 4</t>
  </si>
  <si>
    <t>base 1</t>
  </si>
  <si>
    <t>lat 1</t>
  </si>
  <si>
    <t>lat 2</t>
  </si>
  <si>
    <t>lat 3</t>
  </si>
  <si>
    <t>lat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</si>
</sst>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A23" sqref="A2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210.94399999999999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27.686399999999995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2</v>
      </c>
      <c r="C16" s="23">
        <v>1750</v>
      </c>
      <c r="D16" s="24">
        <v>682</v>
      </c>
      <c r="E16" s="25" t="s">
        <v>32</v>
      </c>
      <c r="F16" s="26"/>
      <c r="G16" s="27"/>
      <c r="H16" s="28"/>
      <c r="I16" s="28"/>
      <c r="J16" s="29"/>
      <c r="K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0</v>
      </c>
      <c r="Q16">
        <v>1</v>
      </c>
      <c r="R16" s="34">
        <f>((SUMIF(G16:G1016,D3,Hoja3!A1:A1001)+SUMIF(H16:H1016,D3,Hoja3!B1:B1001)+SUMIF(I16:I1016,D3,Hoja3!C1:C1001)+SUMIF(J16:J1016,D3,Hoja3!D1:D1001))/1000)*1.05</f>
        <v>27.686399999999999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1747</v>
      </c>
      <c r="D17" s="24">
        <v>743</v>
      </c>
      <c r="E17" s="25" t="s">
        <v>33</v>
      </c>
      <c r="F17" s="25"/>
      <c r="G17" s="36"/>
      <c r="H17" s="36"/>
      <c r="I17" s="36"/>
      <c r="J17" s="36"/>
      <c r="K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2</v>
      </c>
      <c r="C18" s="23">
        <v>1757</v>
      </c>
      <c r="D18" s="24">
        <v>681</v>
      </c>
      <c r="E18" s="25" t="s">
        <v>34</v>
      </c>
      <c r="F18" s="25"/>
      <c r="G18" s="36"/>
      <c r="H18" s="36"/>
      <c r="I18" s="36"/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1755</v>
      </c>
      <c r="D19" s="24">
        <v>746</v>
      </c>
      <c r="E19" s="25" t="s">
        <v>35</v>
      </c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1440</v>
      </c>
      <c r="D20" s="24">
        <v>70</v>
      </c>
      <c r="E20" s="25" t="s">
        <v>36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2.88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1575</v>
      </c>
      <c r="D21" s="24">
        <v>70</v>
      </c>
      <c r="E21" s="25" t="s">
        <v>29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3.15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2</v>
      </c>
      <c r="C22" s="23">
        <v>1450</v>
      </c>
      <c r="D22" s="24">
        <v>70</v>
      </c>
      <c r="E22" s="25" t="s">
        <v>30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2.9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1580</v>
      </c>
      <c r="D23" s="24">
        <v>70</v>
      </c>
      <c r="E23" s="25" t="s">
        <v>31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3.16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1783</v>
      </c>
      <c r="D24" s="24">
        <v>70</v>
      </c>
      <c r="E24" s="25" t="s">
        <v>37</v>
      </c>
      <c r="F24" s="25"/>
      <c r="G24" s="37">
        <v>1</v>
      </c>
      <c r="H24" s="37"/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3.5659999999999998</v>
      </c>
      <c r="R24" s="38">
        <f>SUM(R16:R23)</f>
        <v>27.686399999999999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1780</v>
      </c>
      <c r="D25" s="24">
        <v>70</v>
      </c>
      <c r="E25" s="25" t="s">
        <v>38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3.56</v>
      </c>
    </row>
    <row r="26" spans="1:19" x14ac:dyDescent="0.2">
      <c r="A26" s="21">
        <v>9117152</v>
      </c>
      <c r="B26" s="22">
        <v>2</v>
      </c>
      <c r="C26" s="23">
        <v>1789</v>
      </c>
      <c r="D26" s="24">
        <v>70</v>
      </c>
      <c r="E26" s="25" t="s">
        <v>39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3.5779999999999998</v>
      </c>
    </row>
    <row r="27" spans="1:19" x14ac:dyDescent="0.2">
      <c r="A27" s="21" t="s">
        <v>26</v>
      </c>
      <c r="B27" s="22">
        <v>2</v>
      </c>
      <c r="C27" s="23">
        <v>1787</v>
      </c>
      <c r="D27" s="24">
        <v>70</v>
      </c>
      <c r="E27" s="25" t="s">
        <v>40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3.5739999999999998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3500</v>
      </c>
      <c r="B1">
        <f>Hoja1!B16*Hoja1!C16</f>
        <v>3500</v>
      </c>
      <c r="C1">
        <f>Hoja1!B16*Hoja1!D16</f>
        <v>1364</v>
      </c>
      <c r="D1">
        <f>Hoja1!B16*Hoja1!D16</f>
        <v>1364</v>
      </c>
    </row>
    <row r="2" spans="1:4" x14ac:dyDescent="0.2">
      <c r="A2">
        <f>Hoja1!B17*Hoja1!C17</f>
        <v>3494</v>
      </c>
      <c r="B2">
        <f>Hoja1!B17*Hoja1!C17</f>
        <v>3494</v>
      </c>
      <c r="C2">
        <f>Hoja1!B17*Hoja1!D17</f>
        <v>1486</v>
      </c>
      <c r="D2">
        <f>Hoja1!B17*Hoja1!D17</f>
        <v>1486</v>
      </c>
    </row>
    <row r="3" spans="1:4" x14ac:dyDescent="0.2">
      <c r="A3">
        <f>Hoja1!B18*Hoja1!C18</f>
        <v>3514</v>
      </c>
      <c r="B3">
        <f>Hoja1!B18*Hoja1!C18</f>
        <v>3514</v>
      </c>
      <c r="C3">
        <f>Hoja1!B18*Hoja1!D18</f>
        <v>1362</v>
      </c>
      <c r="D3">
        <f>Hoja1!B18*Hoja1!D18</f>
        <v>1362</v>
      </c>
    </row>
    <row r="4" spans="1:4" x14ac:dyDescent="0.2">
      <c r="A4">
        <f>Hoja1!B19*Hoja1!C19</f>
        <v>3510</v>
      </c>
      <c r="B4">
        <f>Hoja1!B19*Hoja1!C19</f>
        <v>3510</v>
      </c>
      <c r="C4">
        <f>Hoja1!B19*Hoja1!D19</f>
        <v>1492</v>
      </c>
      <c r="D4">
        <f>Hoja1!B19*Hoja1!D19</f>
        <v>1492</v>
      </c>
    </row>
    <row r="5" spans="1:4" x14ac:dyDescent="0.2">
      <c r="A5">
        <f>Hoja1!B20*Hoja1!C20</f>
        <v>2880</v>
      </c>
      <c r="B5">
        <f>Hoja1!B20*Hoja1!C20</f>
        <v>2880</v>
      </c>
      <c r="C5">
        <f>Hoja1!B20*Hoja1!D20</f>
        <v>140</v>
      </c>
      <c r="D5">
        <f>Hoja1!B20*Hoja1!D20</f>
        <v>140</v>
      </c>
    </row>
    <row r="6" spans="1:4" x14ac:dyDescent="0.2">
      <c r="A6">
        <f>Hoja1!B21*Hoja1!C21</f>
        <v>3150</v>
      </c>
      <c r="B6">
        <f>Hoja1!B21*Hoja1!C21</f>
        <v>3150</v>
      </c>
      <c r="C6">
        <f>Hoja1!B21*Hoja1!D21</f>
        <v>140</v>
      </c>
      <c r="D6">
        <f>Hoja1!B21*Hoja1!D21</f>
        <v>140</v>
      </c>
    </row>
    <row r="7" spans="1:4" x14ac:dyDescent="0.2">
      <c r="A7">
        <f>Hoja1!B22*Hoja1!C22</f>
        <v>2900</v>
      </c>
      <c r="B7">
        <f>Hoja1!B22*Hoja1!C22</f>
        <v>2900</v>
      </c>
      <c r="C7">
        <f>Hoja1!B22*Hoja1!D22</f>
        <v>140</v>
      </c>
      <c r="D7">
        <f>Hoja1!B22*Hoja1!D22</f>
        <v>140</v>
      </c>
    </row>
    <row r="8" spans="1:4" x14ac:dyDescent="0.2">
      <c r="A8">
        <f>Hoja1!B23*Hoja1!C23</f>
        <v>3160</v>
      </c>
      <c r="B8">
        <f>Hoja1!B23*Hoja1!C23</f>
        <v>3160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3566</v>
      </c>
      <c r="B9">
        <f>Hoja1!B24*Hoja1!C24</f>
        <v>3566</v>
      </c>
      <c r="C9">
        <f>Hoja1!B24*Hoja1!D24</f>
        <v>140</v>
      </c>
      <c r="D9">
        <f>Hoja1!B24*Hoja1!D24</f>
        <v>140</v>
      </c>
    </row>
    <row r="10" spans="1:4" x14ac:dyDescent="0.2">
      <c r="A10">
        <f>Hoja1!B25*Hoja1!C25</f>
        <v>3560</v>
      </c>
      <c r="B10">
        <f>Hoja1!B25*Hoja1!C25</f>
        <v>3560</v>
      </c>
      <c r="C10">
        <f>Hoja1!B25*Hoja1!D25</f>
        <v>140</v>
      </c>
      <c r="D10">
        <f>Hoja1!B25*Hoja1!D25</f>
        <v>140</v>
      </c>
    </row>
    <row r="11" spans="1:4" x14ac:dyDescent="0.2">
      <c r="A11">
        <f>Hoja1!B26*Hoja1!C26</f>
        <v>3578</v>
      </c>
      <c r="B11">
        <f>Hoja1!B26*Hoja1!C26</f>
        <v>3578</v>
      </c>
      <c r="C11">
        <f>Hoja1!B26*Hoja1!D26</f>
        <v>140</v>
      </c>
      <c r="D11">
        <f>Hoja1!B26*Hoja1!D26</f>
        <v>140</v>
      </c>
    </row>
    <row r="12" spans="1:4" x14ac:dyDescent="0.2">
      <c r="A12">
        <f>Hoja1!B27*Hoja1!C27</f>
        <v>3574</v>
      </c>
      <c r="B12">
        <f>Hoja1!B27*Hoja1!C27</f>
        <v>3574</v>
      </c>
      <c r="C12">
        <f>Hoja1!B27*Hoja1!D27</f>
        <v>140</v>
      </c>
      <c r="D12">
        <f>Hoja1!B27*Hoja1!D27</f>
        <v>140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2025-06-01T15:56:19Z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