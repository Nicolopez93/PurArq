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tefi depto\"/>
    </mc:Choice>
  </mc:AlternateContent>
  <xr:revisionPtr revIDLastSave="0" documentId="13_ncr:1_{34A7ABC5-5966-4D9E-9974-570D38D90964}" xr6:coauthVersionLast="47" xr6:coauthVersionMax="47" xr10:uidLastSave="{00000000-0000-0000-0000-000000000000}"/>
  <bookViews>
    <workbookView xWindow="1695" yWindow="5325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<sst xmlns="http://schemas.openxmlformats.org/spreadsheetml/2006/main" count="58" uniqueCount="38">
  <si>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</si>
  <si>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</si>
  <si>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</si>
  <si>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</si>
  <si>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</si>
  <si>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</si>
  <si>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</si>
  <si>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</si>
  <si>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</si>
  <si>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</si>
  <si>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</si>
  <si>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</si>
  <si>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</si>
  <si>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</si>
  <si>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</si>
  <si>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</si>
  <si>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</si>
  <si>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</si>
  <si>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</si>
  <si>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</si>
  <si>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</si>
  <si>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</si>
  <si>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</si>
  <si>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</si>
  <si>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</si>
  <si>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</si>
  <si>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</si>
  <si>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</si>
  <si>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</si>
  <si>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</si>
  <si>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>lat bajo me</t>
  </si>
  <si>
    <t>base mueble</t>
  </si>
  <si>
    <t>soporte cajone</t>
  </si>
  <si>
    <t>soporte mueble</t>
  </si>
  <si>
    <t>base alace</t>
  </si>
  <si>
    <t>laterales alace</t>
  </si>
  <si>
    <t>base sup alace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</si>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</sst>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A32" sqref="A3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249.70400000000001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26.399100000000004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900</v>
      </c>
      <c r="D16" s="24">
        <v>560</v>
      </c>
      <c r="E16" s="25" t="s">
        <v>29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1.46</v>
      </c>
      <c r="Q16">
        <v>1</v>
      </c>
      <c r="R16" s="34">
        <f>((SUMIF(G16:G1016,D3,Hoja3!A1:A1001)+SUMIF(H16:H1016,D3,Hoja3!B1:B1001)+SUMIF(I16:I1016,D3,Hoja3!C1:C1001)+SUMIF(J16:J1016,D3,Hoja3!D1:D1001))/1000)*1.05</f>
        <v>26.399100000000001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824</v>
      </c>
      <c r="D17" s="24">
        <v>560</v>
      </c>
      <c r="E17" s="25" t="s">
        <v>30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3.2959999999999998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500</v>
      </c>
      <c r="D18" s="24">
        <v>560</v>
      </c>
      <c r="E18" s="25" t="s">
        <v>31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1.06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464</v>
      </c>
      <c r="D19" s="24">
        <v>120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0.92800000000000005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864</v>
      </c>
      <c r="D20" s="24">
        <v>120</v>
      </c>
      <c r="E20" s="25" t="s">
        <v>33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1.728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900</v>
      </c>
      <c r="D21" s="24">
        <v>280</v>
      </c>
      <c r="E21" s="25" t="s">
        <v>34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1.8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464</v>
      </c>
      <c r="D22" s="24">
        <v>280</v>
      </c>
      <c r="E22" s="25" t="s">
        <v>35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1.8560000000000001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640</v>
      </c>
      <c r="D23" s="24">
        <v>280</v>
      </c>
      <c r="E23" s="25" t="s">
        <v>36</v>
      </c>
      <c r="F23" s="25"/>
      <c r="G23" s="37">
        <v>1</v>
      </c>
      <c r="H23" s="37"/>
      <c r="I23" s="37">
        <v>1</v>
      </c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0.92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640</v>
      </c>
      <c r="D24" s="24">
        <v>432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1.504</v>
      </c>
      <c r="R24" s="38">
        <f>SUM(R16:R23)</f>
        <v>26.399100000000001</v>
      </c>
      <c r="S24" s="39" t="s">
        <v>27</v>
      </c>
    </row>
    <row r="25" spans="1:19" x14ac:dyDescent="0.2">
      <c r="A25" s="21" t="s">
        <v>26</v>
      </c>
      <c r="B25" s="22">
        <v>6</v>
      </c>
      <c r="C25" s="23">
        <v>437</v>
      </c>
      <c r="D25" s="24">
        <v>200</v>
      </c>
      <c r="E25" s="25" t="s">
        <v>37</v>
      </c>
      <c r="F25" s="25"/>
      <c r="G25" s="37">
        <v>1</v>
      </c>
      <c r="H25" s="37"/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5.0220000000000002</v>
      </c>
    </row>
    <row r="26" spans="1:19" x14ac:dyDescent="0.2">
      <c r="A26" s="21" t="s">
        <v>26</v>
      </c>
      <c r="B26" s="22">
        <v>6</v>
      </c>
      <c r="C26" s="23">
        <v>464</v>
      </c>
      <c r="D26" s="24">
        <v>200</v>
      </c>
      <c r="E26" s="25" t="s">
        <v>37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5.5679999999999996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900</v>
      </c>
      <c r="B1">
        <f>Hoja1!B16*Hoja1!C16</f>
        <v>900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3296</v>
      </c>
      <c r="B2">
        <f>Hoja1!B17*Hoja1!C17</f>
        <v>3296</v>
      </c>
      <c r="C2">
        <f>Hoja1!B17*Hoja1!D17</f>
        <v>2240</v>
      </c>
      <c r="D2">
        <f>Hoja1!B17*Hoja1!D17</f>
        <v>2240</v>
      </c>
    </row>
    <row r="3" spans="1:4" x14ac:dyDescent="0.2">
      <c r="A3">
        <f>Hoja1!B18*Hoja1!C18</f>
        <v>500</v>
      </c>
      <c r="B3">
        <f>Hoja1!B18*Hoja1!C18</f>
        <v>500</v>
      </c>
      <c r="C3">
        <f>Hoja1!B18*Hoja1!D18</f>
        <v>560</v>
      </c>
      <c r="D3">
        <f>Hoja1!B18*Hoja1!D18</f>
        <v>560</v>
      </c>
    </row>
    <row r="4" spans="1:4" x14ac:dyDescent="0.2">
      <c r="A4">
        <f>Hoja1!B19*Hoja1!C19</f>
        <v>928</v>
      </c>
      <c r="B4">
        <f>Hoja1!B19*Hoja1!C19</f>
        <v>928</v>
      </c>
      <c r="C4">
        <f>Hoja1!B19*Hoja1!D19</f>
        <v>240</v>
      </c>
      <c r="D4">
        <f>Hoja1!B19*Hoja1!D19</f>
        <v>240</v>
      </c>
    </row>
    <row r="5" spans="1:4" x14ac:dyDescent="0.2">
      <c r="A5">
        <f>Hoja1!B20*Hoja1!C20</f>
        <v>1728</v>
      </c>
      <c r="B5">
        <f>Hoja1!B20*Hoja1!C20</f>
        <v>1728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1800</v>
      </c>
      <c r="B6">
        <f>Hoja1!B21*Hoja1!C21</f>
        <v>1800</v>
      </c>
      <c r="C6">
        <f>Hoja1!B21*Hoja1!D21</f>
        <v>560</v>
      </c>
      <c r="D6">
        <f>Hoja1!B21*Hoja1!D21</f>
        <v>560</v>
      </c>
    </row>
    <row r="7" spans="1:4" x14ac:dyDescent="0.2">
      <c r="A7">
        <f>Hoja1!B22*Hoja1!C22</f>
        <v>1856</v>
      </c>
      <c r="B7">
        <f>Hoja1!B22*Hoja1!C22</f>
        <v>1856</v>
      </c>
      <c r="C7">
        <f>Hoja1!B22*Hoja1!D22</f>
        <v>1120</v>
      </c>
      <c r="D7">
        <f>Hoja1!B22*Hoja1!D22</f>
        <v>1120</v>
      </c>
    </row>
    <row r="8" spans="1:4" x14ac:dyDescent="0.2">
      <c r="A8">
        <f>Hoja1!B23*Hoja1!C23</f>
        <v>640</v>
      </c>
      <c r="B8">
        <f>Hoja1!B23*Hoja1!C23</f>
        <v>640</v>
      </c>
      <c r="C8">
        <f>Hoja1!B23*Hoja1!D23</f>
        <v>280</v>
      </c>
      <c r="D8">
        <f>Hoja1!B23*Hoja1!D23</f>
        <v>280</v>
      </c>
    </row>
    <row r="9" spans="1:4" x14ac:dyDescent="0.2">
      <c r="A9">
        <f>Hoja1!B24*Hoja1!C24</f>
        <v>640</v>
      </c>
      <c r="B9">
        <f>Hoja1!B24*Hoja1!C24</f>
        <v>640</v>
      </c>
      <c r="C9">
        <f>Hoja1!B24*Hoja1!D24</f>
        <v>432</v>
      </c>
      <c r="D9">
        <f>Hoja1!B24*Hoja1!D24</f>
        <v>432</v>
      </c>
    </row>
    <row r="10" spans="1:4" x14ac:dyDescent="0.2">
      <c r="A10">
        <f>Hoja1!B25*Hoja1!C25</f>
        <v>2622</v>
      </c>
      <c r="B10">
        <f>Hoja1!B25*Hoja1!C25</f>
        <v>2622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2784</v>
      </c>
      <c r="B11">
        <f>Hoja1!B26*Hoja1!C26</f>
        <v>2784</v>
      </c>
      <c r="C11">
        <f>Hoja1!B26*Hoja1!D26</f>
        <v>1200</v>
      </c>
      <c r="D11">
        <f>Hoja1!B26*Hoja1!D26</f>
        <v>1200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2025-02-25T02:38:40Z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