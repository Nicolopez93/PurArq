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joaco perona\"/>
    </mc:Choice>
  </mc:AlternateContent>
  <xr:revisionPtr revIDLastSave="0" documentId="13_ncr:1_{EEF5CD13-1B87-456D-9E00-B80D5D3AB0EE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<sst xmlns="http://schemas.openxmlformats.org/spreadsheetml/2006/main" count="44" uniqueCount="35">
  <si>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</si>
  <si>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</si>
  <si>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</si>
  <si>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</si>
  <si>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</si>
  <si>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</si>
  <si>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</si>
  <si>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</si>
  <si>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</si>
  <si>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</si>
  <si>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</si>
  <si>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</si>
  <si>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</si>
  <si>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</si>
  <si>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</si>
  <si>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</si>
  <si>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</si>
  <si>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</si>
  <si>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</si>
  <si>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</si>
  <si>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</si>
  <si>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</si>
  <si>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</si>
  <si>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</si>
  <si>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</si>
  <si>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</si>
  <si>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</si>
  <si>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tapa final</t>
  </si>
  <si>
    <t>lat mue</t>
  </si>
  <si>
    <t xml:space="preserve">base 1 </t>
  </si>
  <si>
    <t>base 2</t>
  </si>
  <si>
    <t>estante 1</t>
  </si>
  <si>
    <t>estante 2</t>
  </si>
  <si>
    <t>puertas</t>
  </si>
  <si>
    <t>tribal 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</si>
</sst>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A23" sqref="A2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34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248.56</v>
      </c>
      <c r="F3" s="47">
        <v>9132945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7"/>
      <c r="G4" s="47"/>
      <c r="H4" s="47"/>
      <c r="I4" s="47"/>
      <c r="J4" s="47"/>
      <c r="K4" s="47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7"/>
      <c r="G5" s="47"/>
      <c r="H5" s="47"/>
      <c r="I5" s="47"/>
      <c r="J5" s="47"/>
      <c r="K5" s="47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7"/>
      <c r="G6" s="47"/>
      <c r="H6" s="47"/>
      <c r="I6" s="47"/>
      <c r="J6" s="47"/>
      <c r="K6" s="47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7"/>
      <c r="G7" s="47"/>
      <c r="H7" s="47"/>
      <c r="I7" s="47"/>
      <c r="J7" s="47"/>
      <c r="K7" s="47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7"/>
      <c r="G8" s="47"/>
      <c r="H8" s="47"/>
      <c r="I8" s="47"/>
      <c r="J8" s="47"/>
      <c r="K8" s="47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7"/>
      <c r="G9" s="47"/>
      <c r="H9" s="47"/>
      <c r="I9" s="47"/>
      <c r="J9" s="47"/>
      <c r="K9" s="47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7"/>
      <c r="G10" s="47"/>
      <c r="H10" s="47"/>
      <c r="I10" s="47"/>
      <c r="J10" s="47"/>
      <c r="K10" s="47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8" t="s">
        <v>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50" t="s">
        <v>9</v>
      </c>
      <c r="B14" s="50" t="s">
        <v>10</v>
      </c>
      <c r="C14" s="50" t="s">
        <v>11</v>
      </c>
      <c r="D14" s="50" t="s">
        <v>12</v>
      </c>
      <c r="E14" s="50" t="s">
        <v>13</v>
      </c>
      <c r="F14" s="50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0"/>
      <c r="B15" s="50"/>
      <c r="C15" s="50"/>
      <c r="D15" s="50"/>
      <c r="E15" s="50"/>
      <c r="F15" s="50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37.892400000000002</v>
      </c>
      <c r="R15" s="19" t="s">
        <v>24</v>
      </c>
      <c r="S15" s="20" t="s">
        <v>25</v>
      </c>
    </row>
    <row r="16" spans="1:20" ht="15.75" x14ac:dyDescent="0.25">
      <c r="A16" s="21">
        <v>9132945</v>
      </c>
      <c r="B16" s="40">
        <v>2</v>
      </c>
      <c r="C16" s="23">
        <v>500</v>
      </c>
      <c r="D16" s="24">
        <v>406</v>
      </c>
      <c r="E16" s="25" t="s">
        <v>27</v>
      </c>
      <c r="F16" s="25"/>
      <c r="G16" s="34">
        <v>1</v>
      </c>
      <c r="H16" s="34"/>
      <c r="I16" s="34"/>
      <c r="J16" s="34">
        <v>1</v>
      </c>
      <c r="K1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tribal 045</v>
      </c>
      <c r="L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tribal 045</v>
      </c>
      <c r="O16" s="30">
        <f t="shared" ref="O16:O79" si="0">(IF(G16&gt;0,C16,0)+IF(H16&gt;0,C16,0)+IF(I16&gt;0,D16,0)+IF(J16&gt;0,D16,0))*B16/1000</f>
        <v>1.8120000000000001</v>
      </c>
      <c r="Q16">
        <v>1</v>
      </c>
      <c r="R16" s="31">
        <f>((SUMIF(G16:G1016,D3,Hoja3!A1:A1001)+SUMIF(H16:H1016,D3,Hoja3!B1:B1001)+SUMIF(I16:I1016,D3,Hoja3!C1:C1001)+SUMIF(J16:J1016,D3,Hoja3!D1:D1001))/1000)*1.05</f>
        <v>37.892400000000002</v>
      </c>
      <c r="S16" s="32" t="str">
        <f>A3</f>
        <v>tribal 045</v>
      </c>
    </row>
    <row r="17" spans="1:19" ht="15.75" x14ac:dyDescent="0.25">
      <c r="A17" s="21">
        <v>9132945</v>
      </c>
      <c r="B17" s="41">
        <v>1</v>
      </c>
      <c r="C17" s="23">
        <v>2700</v>
      </c>
      <c r="D17" s="24">
        <v>406</v>
      </c>
      <c r="E17" s="25" t="s">
        <v>27</v>
      </c>
      <c r="F17" s="25"/>
      <c r="G17" s="34">
        <v>1</v>
      </c>
      <c r="H17" s="34">
        <v>1</v>
      </c>
      <c r="I17" s="34">
        <v>1</v>
      </c>
      <c r="J17" s="34">
        <v>1</v>
      </c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tribal 045</v>
      </c>
      <c r="L1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tribal 045</v>
      </c>
      <c r="M1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tribal 045</v>
      </c>
      <c r="N1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tribal 045</v>
      </c>
      <c r="O17" s="30">
        <f t="shared" si="0"/>
        <v>6.2119999999999997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9132945</v>
      </c>
      <c r="B18" s="40">
        <v>8</v>
      </c>
      <c r="C18" s="23">
        <v>464</v>
      </c>
      <c r="D18" s="24">
        <v>382</v>
      </c>
      <c r="E18" s="25" t="s">
        <v>28</v>
      </c>
      <c r="F18" s="25"/>
      <c r="G18" s="34">
        <v>1</v>
      </c>
      <c r="H18" s="34">
        <v>1</v>
      </c>
      <c r="I18" s="34"/>
      <c r="J18" s="34"/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tribal 045</v>
      </c>
      <c r="L1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tribal 045</v>
      </c>
      <c r="M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7.4240000000000004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9132945</v>
      </c>
      <c r="B19" s="41">
        <v>4</v>
      </c>
      <c r="C19" s="23">
        <v>882</v>
      </c>
      <c r="D19" s="24">
        <v>382</v>
      </c>
      <c r="E19" s="25" t="s">
        <v>29</v>
      </c>
      <c r="F19" s="25"/>
      <c r="G19" s="34">
        <v>1</v>
      </c>
      <c r="H19" s="34">
        <v>1</v>
      </c>
      <c r="I19" s="34"/>
      <c r="J19" s="34"/>
      <c r="K1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tribal 045</v>
      </c>
      <c r="L19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tribal 045</v>
      </c>
      <c r="M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0">
        <f t="shared" si="0"/>
        <v>7.056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9132945</v>
      </c>
      <c r="B20" s="40">
        <v>4</v>
      </c>
      <c r="C20" s="23">
        <v>450</v>
      </c>
      <c r="D20" s="24">
        <v>382</v>
      </c>
      <c r="E20" s="25" t="s">
        <v>30</v>
      </c>
      <c r="F20" s="25"/>
      <c r="G20" s="34">
        <v>1</v>
      </c>
      <c r="H20" s="34">
        <v>1</v>
      </c>
      <c r="I20" s="34"/>
      <c r="J20" s="34"/>
      <c r="K2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tribal 045</v>
      </c>
      <c r="L20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tribal 045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3.6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9132945</v>
      </c>
      <c r="B21" s="40">
        <v>2</v>
      </c>
      <c r="C21" s="23">
        <v>846</v>
      </c>
      <c r="D21" s="24">
        <v>382</v>
      </c>
      <c r="E21" s="25" t="s">
        <v>31</v>
      </c>
      <c r="F21" s="25"/>
      <c r="G21" s="34">
        <v>1</v>
      </c>
      <c r="H21" s="34"/>
      <c r="I21" s="34"/>
      <c r="J21" s="34"/>
      <c r="K2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tribal 045</v>
      </c>
      <c r="L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0">
        <f t="shared" si="0"/>
        <v>1.6919999999999999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9132945</v>
      </c>
      <c r="B22" s="41">
        <v>2</v>
      </c>
      <c r="C22" s="23">
        <v>414</v>
      </c>
      <c r="D22" s="24">
        <v>382</v>
      </c>
      <c r="E22" s="25" t="s">
        <v>32</v>
      </c>
      <c r="F22" s="25"/>
      <c r="G22" s="34">
        <v>1</v>
      </c>
      <c r="H22" s="34"/>
      <c r="I22" s="34"/>
      <c r="J22" s="34"/>
      <c r="K2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tribal 045</v>
      </c>
      <c r="L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0">
        <f t="shared" si="0"/>
        <v>0.82799999999999996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9132945</v>
      </c>
      <c r="B23" s="41">
        <v>4</v>
      </c>
      <c r="C23" s="23">
        <v>437</v>
      </c>
      <c r="D23" s="24">
        <v>496</v>
      </c>
      <c r="E23" s="25" t="s">
        <v>33</v>
      </c>
      <c r="F23" s="25"/>
      <c r="G23" s="34">
        <v>1</v>
      </c>
      <c r="H23" s="34">
        <v>1</v>
      </c>
      <c r="I23" s="34">
        <v>1</v>
      </c>
      <c r="J23" s="34">
        <v>1</v>
      </c>
      <c r="K2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tribal 045</v>
      </c>
      <c r="L23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tribal 045</v>
      </c>
      <c r="M23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tribal 045</v>
      </c>
      <c r="N23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tribal 045</v>
      </c>
      <c r="O23" s="30">
        <f t="shared" si="0"/>
        <v>7.4640000000000004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/>
      <c r="B24" s="41"/>
      <c r="C24" s="23"/>
      <c r="D24" s="24"/>
      <c r="E24" s="25"/>
      <c r="F24" s="25"/>
      <c r="G24" s="34"/>
      <c r="H24" s="34"/>
      <c r="I24" s="34"/>
      <c r="J24" s="34"/>
      <c r="K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0">
        <f t="shared" si="0"/>
        <v>0</v>
      </c>
      <c r="R24" s="35">
        <f>SUM(R16:R23)</f>
        <v>37.892400000000002</v>
      </c>
      <c r="S24" s="36" t="s">
        <v>26</v>
      </c>
    </row>
    <row r="25" spans="1:19" ht="15" x14ac:dyDescent="0.25">
      <c r="A25" s="21"/>
      <c r="B25" s="41"/>
      <c r="C25" s="23"/>
      <c r="D25" s="24"/>
      <c r="E25" s="25"/>
      <c r="F25" s="25"/>
      <c r="G25" s="34"/>
      <c r="H25" s="34"/>
      <c r="I25" s="34"/>
      <c r="J25" s="34"/>
      <c r="K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0</v>
      </c>
    </row>
    <row r="26" spans="1:19" ht="15" x14ac:dyDescent="0.25">
      <c r="A26" s="21"/>
      <c r="B26" s="40"/>
      <c r="C26" s="23"/>
      <c r="D26" s="24"/>
      <c r="E26" s="25"/>
      <c r="F26" s="25"/>
      <c r="G26" s="34"/>
      <c r="H26" s="34"/>
      <c r="I26" s="34"/>
      <c r="J26" s="34"/>
      <c r="K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0">
        <f t="shared" si="0"/>
        <v>0</v>
      </c>
    </row>
    <row r="27" spans="1:19" ht="15" x14ac:dyDescent="0.25">
      <c r="A27" s="21"/>
      <c r="B27" s="41"/>
      <c r="C27" s="23"/>
      <c r="D27" s="24"/>
      <c r="E27" s="25"/>
      <c r="F27" s="25"/>
      <c r="G27" s="34"/>
      <c r="H27" s="34"/>
      <c r="I27" s="34"/>
      <c r="J27" s="34"/>
      <c r="K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0">
        <f t="shared" si="0"/>
        <v>0</v>
      </c>
    </row>
    <row r="28" spans="1:19" ht="15" x14ac:dyDescent="0.25">
      <c r="A28" s="21"/>
      <c r="B28" s="42"/>
      <c r="C28" s="23"/>
      <c r="D28" s="24"/>
      <c r="E28" s="25"/>
      <c r="F28" s="25"/>
      <c r="G28" s="34"/>
      <c r="H28" s="34"/>
      <c r="I28" s="34"/>
      <c r="J28" s="34"/>
      <c r="K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0</v>
      </c>
    </row>
    <row r="29" spans="1:19" ht="15" x14ac:dyDescent="0.25">
      <c r="A29" s="21"/>
      <c r="B29" s="41"/>
      <c r="C29" s="23"/>
      <c r="D29" s="24"/>
      <c r="E29" s="25"/>
      <c r="F29" s="25"/>
      <c r="G29" s="34"/>
      <c r="H29" s="34"/>
      <c r="I29" s="34"/>
      <c r="J29" s="34"/>
      <c r="K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0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4"/>
      <c r="H30" s="34"/>
      <c r="I30" s="34"/>
      <c r="J30" s="34"/>
      <c r="K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0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4"/>
      <c r="H31" s="34"/>
      <c r="I31" s="34"/>
      <c r="J31" s="34"/>
      <c r="K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0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4"/>
      <c r="H32" s="34"/>
      <c r="I32" s="34"/>
      <c r="J32" s="34"/>
      <c r="K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0</v>
      </c>
    </row>
    <row r="33" spans="1:15" ht="15" x14ac:dyDescent="0.25">
      <c r="A33" s="21"/>
      <c r="B33" s="40"/>
      <c r="C33" s="23"/>
      <c r="D33" s="24"/>
      <c r="E33" s="25"/>
      <c r="F33" s="26"/>
      <c r="G33" s="34"/>
      <c r="H33" s="34"/>
      <c r="I33" s="34"/>
      <c r="J33" s="34"/>
      <c r="K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0</v>
      </c>
    </row>
    <row r="34" spans="1:15" ht="15" x14ac:dyDescent="0.25">
      <c r="A34" s="21"/>
      <c r="B34" s="41"/>
      <c r="C34" s="23"/>
      <c r="D34" s="24"/>
      <c r="E34" s="25"/>
      <c r="F34" s="25"/>
      <c r="G34" s="34"/>
      <c r="H34" s="34"/>
      <c r="I34" s="34"/>
      <c r="J34" s="34"/>
      <c r="K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0</v>
      </c>
    </row>
    <row r="35" spans="1:15" ht="15" x14ac:dyDescent="0.25">
      <c r="A35" s="21"/>
      <c r="B35" s="40"/>
      <c r="C35" s="23"/>
      <c r="D35" s="24"/>
      <c r="E35" s="25"/>
      <c r="F35" s="25"/>
      <c r="G35" s="34"/>
      <c r="H35" s="34"/>
      <c r="I35" s="34"/>
      <c r="J35" s="34"/>
      <c r="K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0">
        <f t="shared" si="0"/>
        <v>0</v>
      </c>
    </row>
    <row r="36" spans="1:15" ht="15" x14ac:dyDescent="0.25">
      <c r="A36" s="21"/>
      <c r="B36" s="40"/>
      <c r="C36" s="23"/>
      <c r="D36" s="24"/>
      <c r="E36" s="25"/>
      <c r="F36" s="25"/>
      <c r="G36" s="34"/>
      <c r="H36" s="34"/>
      <c r="I36" s="34"/>
      <c r="J36" s="34"/>
      <c r="K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0">
        <f t="shared" si="0"/>
        <v>0</v>
      </c>
    </row>
    <row r="37" spans="1:15" ht="15" x14ac:dyDescent="0.25">
      <c r="A37" s="21"/>
      <c r="B37" s="41"/>
      <c r="C37" s="23"/>
      <c r="D37" s="24"/>
      <c r="E37" s="25"/>
      <c r="F37" s="25"/>
      <c r="G37" s="34"/>
      <c r="H37" s="34"/>
      <c r="I37" s="34"/>
      <c r="J37" s="34"/>
      <c r="K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0">
        <f t="shared" si="0"/>
        <v>0</v>
      </c>
    </row>
    <row r="38" spans="1:15" ht="15" x14ac:dyDescent="0.25">
      <c r="A38" s="21"/>
      <c r="B38" s="40"/>
      <c r="C38" s="23"/>
      <c r="D38" s="24"/>
      <c r="E38" s="25"/>
      <c r="F38" s="25"/>
      <c r="G38" s="34"/>
      <c r="H38" s="34"/>
      <c r="I38" s="34"/>
      <c r="J38" s="34"/>
      <c r="K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0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1000</v>
      </c>
      <c r="B1">
        <f>Hoja1!B16*Hoja1!C16</f>
        <v>1000</v>
      </c>
      <c r="C1">
        <f>Hoja1!B16*Hoja1!D16</f>
        <v>812</v>
      </c>
      <c r="D1">
        <f>Hoja1!B16*Hoja1!D16</f>
        <v>812</v>
      </c>
    </row>
    <row r="2" spans="1:4" x14ac:dyDescent="0.2">
      <c r="A2">
        <f>Hoja1!B17*Hoja1!C17</f>
        <v>2700</v>
      </c>
      <c r="B2">
        <f>Hoja1!B17*Hoja1!C17</f>
        <v>2700</v>
      </c>
      <c r="C2">
        <f>Hoja1!B17*Hoja1!D17</f>
        <v>406</v>
      </c>
      <c r="D2">
        <f>Hoja1!B17*Hoja1!D17</f>
        <v>406</v>
      </c>
    </row>
    <row r="3" spans="1:4" x14ac:dyDescent="0.2">
      <c r="A3">
        <f>Hoja1!B18*Hoja1!C18</f>
        <v>3712</v>
      </c>
      <c r="B3">
        <f>Hoja1!B18*Hoja1!C18</f>
        <v>3712</v>
      </c>
      <c r="C3">
        <f>Hoja1!B18*Hoja1!D18</f>
        <v>3056</v>
      </c>
      <c r="D3">
        <f>Hoja1!B18*Hoja1!D18</f>
        <v>3056</v>
      </c>
    </row>
    <row r="4" spans="1:4" x14ac:dyDescent="0.2">
      <c r="A4">
        <f>Hoja1!B19*Hoja1!C19</f>
        <v>3528</v>
      </c>
      <c r="B4">
        <f>Hoja1!B19*Hoja1!C19</f>
        <v>3528</v>
      </c>
      <c r="C4">
        <f>Hoja1!B19*Hoja1!D19</f>
        <v>1528</v>
      </c>
      <c r="D4">
        <f>Hoja1!B19*Hoja1!D19</f>
        <v>1528</v>
      </c>
    </row>
    <row r="5" spans="1:4" x14ac:dyDescent="0.2">
      <c r="A5">
        <f>Hoja1!B20*Hoja1!C20</f>
        <v>1800</v>
      </c>
      <c r="B5">
        <f>Hoja1!B20*Hoja1!C20</f>
        <v>1800</v>
      </c>
      <c r="C5">
        <f>Hoja1!B20*Hoja1!D20</f>
        <v>1528</v>
      </c>
      <c r="D5">
        <f>Hoja1!B20*Hoja1!D20</f>
        <v>1528</v>
      </c>
    </row>
    <row r="6" spans="1:4" x14ac:dyDescent="0.2">
      <c r="A6">
        <f>Hoja1!B21*Hoja1!C21</f>
        <v>1692</v>
      </c>
      <c r="B6">
        <f>Hoja1!B21*Hoja1!C21</f>
        <v>1692</v>
      </c>
      <c r="C6">
        <f>Hoja1!B21*Hoja1!D21</f>
        <v>764</v>
      </c>
      <c r="D6">
        <f>Hoja1!B21*Hoja1!D21</f>
        <v>764</v>
      </c>
    </row>
    <row r="7" spans="1:4" x14ac:dyDescent="0.2">
      <c r="A7">
        <f>Hoja1!B22*Hoja1!C22</f>
        <v>828</v>
      </c>
      <c r="B7">
        <f>Hoja1!B22*Hoja1!C22</f>
        <v>828</v>
      </c>
      <c r="C7">
        <f>Hoja1!B22*Hoja1!D22</f>
        <v>764</v>
      </c>
      <c r="D7">
        <f>Hoja1!B22*Hoja1!D22</f>
        <v>764</v>
      </c>
    </row>
    <row r="8" spans="1:4" x14ac:dyDescent="0.2">
      <c r="A8">
        <f>Hoja1!B23*Hoja1!C23</f>
        <v>1748</v>
      </c>
      <c r="B8">
        <f>Hoja1!B23*Hoja1!C23</f>
        <v>1748</v>
      </c>
      <c r="C8">
        <f>Hoja1!B23*Hoja1!D23</f>
        <v>1984</v>
      </c>
      <c r="D8">
        <f>Hoja1!B23*Hoja1!D23</f>
        <v>1984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2024-10-08T12:41:57Z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