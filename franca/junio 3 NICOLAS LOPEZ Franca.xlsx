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a\"/>
    </mc:Choice>
  </mc:AlternateContent>
  <xr:revisionPtr revIDLastSave="0" documentId="13_ncr:1_{B9DF99FA-FD42-4087-8BCC-6BCB70003B34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<sst xmlns="http://schemas.openxmlformats.org/spreadsheetml/2006/main" count="55" uniqueCount="46">
  <si>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</si>
  <si>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</si>
  <si>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</si>
  <si>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</si>
  <si>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</si>
  <si>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</si>
  <si>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</si>
  <si>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</si>
  <si>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</si>
  <si>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</si>
  <si>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</si>
  <si>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</si>
  <si>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</si>
  <si>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</si>
  <si>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</si>
  <si>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</si>
  <si>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</si>
  <si>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</si>
  <si>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</si>
  <si>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</si>
  <si>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</si>
  <si>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</si>
  <si>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</si>
  <si>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</si>
  <si>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</si>
  <si>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</si>
  <si>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</si>
  <si>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base alace</t>
  </si>
  <si>
    <t>puerta</t>
  </si>
  <si>
    <t>estante alace</t>
  </si>
  <si>
    <t>soporte</t>
  </si>
  <si>
    <t xml:space="preserve">040 Negro </t>
  </si>
  <si>
    <t xml:space="preserve">base 1 </t>
  </si>
  <si>
    <t>base 2</t>
  </si>
  <si>
    <t>lat mue</t>
  </si>
  <si>
    <t>estane 1</t>
  </si>
  <si>
    <t>soporte 1</t>
  </si>
  <si>
    <t>entante 2</t>
  </si>
  <si>
    <t>sooprte 2</t>
  </si>
  <si>
    <t>puerta 2</t>
  </si>
  <si>
    <t>puerta 1</t>
  </si>
  <si>
    <t>soporte ciego</t>
  </si>
  <si>
    <t>zoclao</t>
  </si>
  <si>
    <t>soporte vertical</t>
  </si>
  <si>
    <t>fondo varillado</t>
  </si>
  <si>
    <t>lat alace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</si>
</sst>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0" zoomScale="130" zoomScaleNormal="130" workbookViewId="0">
      <selection activeCell="A34" sqref="A34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31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396.32299999999998</v>
      </c>
      <c r="F3" s="51">
        <v>9119872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39.596550000000001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1</v>
      </c>
      <c r="C16" s="23">
        <v>1069</v>
      </c>
      <c r="D16" s="24">
        <v>415</v>
      </c>
      <c r="E16" s="25" t="s">
        <v>32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2.1379999999999999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39.596550000000001</v>
      </c>
      <c r="S16" s="35" t="str">
        <f t="shared" ref="S16:S23" si="1">A3</f>
        <v xml:space="preserve">040 Negro </v>
      </c>
    </row>
    <row r="17" spans="1:19" ht="15.75" x14ac:dyDescent="0.25">
      <c r="A17" s="21">
        <v>9119872</v>
      </c>
      <c r="B17" s="22">
        <v>1</v>
      </c>
      <c r="C17" s="23">
        <v>431</v>
      </c>
      <c r="D17" s="24">
        <v>415</v>
      </c>
      <c r="E17" s="25" t="s">
        <v>33</v>
      </c>
      <c r="F17" s="25"/>
      <c r="G17" s="36">
        <v>1</v>
      </c>
      <c r="H17" s="36">
        <v>1</v>
      </c>
      <c r="I17" s="36"/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Negro </v>
      </c>
      <c r="O17" s="33">
        <f t="shared" si="0"/>
        <v>1.2769999999999999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4</v>
      </c>
      <c r="C18" s="23">
        <v>772</v>
      </c>
      <c r="D18" s="24">
        <v>415</v>
      </c>
      <c r="E18" s="25" t="s">
        <v>34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3.0880000000000001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1</v>
      </c>
      <c r="C19" s="23">
        <v>1033</v>
      </c>
      <c r="D19" s="24">
        <v>396</v>
      </c>
      <c r="E19" s="25" t="s">
        <v>35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1.0329999999999999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9119872</v>
      </c>
      <c r="B20" s="22">
        <v>2</v>
      </c>
      <c r="C20" s="23">
        <v>1033</v>
      </c>
      <c r="D20" s="24">
        <v>120</v>
      </c>
      <c r="E20" s="25" t="s">
        <v>36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2.0659999999999998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9119872</v>
      </c>
      <c r="B21" s="22">
        <v>1</v>
      </c>
      <c r="C21" s="23">
        <v>395</v>
      </c>
      <c r="D21" s="24">
        <v>415</v>
      </c>
      <c r="E21" s="25" t="s">
        <v>37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0.39500000000000002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9119872</v>
      </c>
      <c r="B22" s="22">
        <v>2</v>
      </c>
      <c r="C22" s="23">
        <v>395</v>
      </c>
      <c r="D22" s="24">
        <v>120</v>
      </c>
      <c r="E22" s="25" t="s">
        <v>38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0.79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9119872</v>
      </c>
      <c r="B23" s="22">
        <v>1</v>
      </c>
      <c r="C23" s="23">
        <v>786</v>
      </c>
      <c r="D23" s="24">
        <v>427</v>
      </c>
      <c r="E23" s="25" t="s">
        <v>39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Negro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Negro </v>
      </c>
      <c r="O23" s="33">
        <f t="shared" si="0"/>
        <v>2.4260000000000002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9119872</v>
      </c>
      <c r="B24" s="22">
        <v>1</v>
      </c>
      <c r="C24" s="23">
        <v>786</v>
      </c>
      <c r="D24" s="24">
        <v>437</v>
      </c>
      <c r="E24" s="25" t="s">
        <v>40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Negro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Negro </v>
      </c>
      <c r="O24" s="33">
        <f t="shared" si="0"/>
        <v>2.4460000000000002</v>
      </c>
      <c r="R24" s="38">
        <f>SUM(R16:R23)</f>
        <v>39.596550000000001</v>
      </c>
      <c r="S24" s="39" t="s">
        <v>26</v>
      </c>
    </row>
    <row r="25" spans="1:19" x14ac:dyDescent="0.2">
      <c r="A25" s="21">
        <v>9119872</v>
      </c>
      <c r="B25" s="22">
        <v>1</v>
      </c>
      <c r="C25" s="23">
        <v>620</v>
      </c>
      <c r="D25" s="24">
        <v>772</v>
      </c>
      <c r="E25" s="25" t="s">
        <v>41</v>
      </c>
      <c r="F25" s="25"/>
      <c r="G25" s="37"/>
      <c r="H25" s="37"/>
      <c r="I25" s="37">
        <v>1</v>
      </c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Negro 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0.77200000000000002</v>
      </c>
    </row>
    <row r="26" spans="1:19" x14ac:dyDescent="0.2">
      <c r="A26" s="21">
        <v>9119872</v>
      </c>
      <c r="B26" s="22">
        <v>2</v>
      </c>
      <c r="C26" s="23">
        <v>1496</v>
      </c>
      <c r="D26" s="24">
        <v>70</v>
      </c>
      <c r="E26" s="25" t="s">
        <v>42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>
        <v>9119872</v>
      </c>
      <c r="B27" s="22">
        <v>2</v>
      </c>
      <c r="C27" s="23">
        <v>343</v>
      </c>
      <c r="D27" s="24">
        <v>70</v>
      </c>
      <c r="E27" s="25" t="s">
        <v>42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>
        <v>9119872</v>
      </c>
      <c r="B28" s="22">
        <v>2</v>
      </c>
      <c r="C28" s="23">
        <v>860</v>
      </c>
      <c r="D28" s="24">
        <v>70</v>
      </c>
      <c r="E28" s="25" t="s">
        <v>43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>
        <v>9119872</v>
      </c>
      <c r="B29" s="22">
        <v>1</v>
      </c>
      <c r="C29" s="23">
        <v>1500</v>
      </c>
      <c r="D29" s="24">
        <v>860</v>
      </c>
      <c r="E29" s="25" t="s">
        <v>44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Negro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Negro </v>
      </c>
      <c r="O29" s="33">
        <f t="shared" si="0"/>
        <v>4.72</v>
      </c>
    </row>
    <row r="30" spans="1:19" x14ac:dyDescent="0.2">
      <c r="A30" s="21">
        <v>9119872</v>
      </c>
      <c r="B30" s="22">
        <v>2</v>
      </c>
      <c r="C30" s="23">
        <v>500</v>
      </c>
      <c r="D30" s="24">
        <v>320</v>
      </c>
      <c r="E30" s="25" t="s">
        <v>27</v>
      </c>
      <c r="F30" s="25"/>
      <c r="G30" s="37">
        <v>1</v>
      </c>
      <c r="H30" s="37"/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Negro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Negro </v>
      </c>
      <c r="O30" s="33">
        <f t="shared" si="0"/>
        <v>2.2799999999999998</v>
      </c>
    </row>
    <row r="31" spans="1:19" x14ac:dyDescent="0.2">
      <c r="A31" s="21">
        <v>9119872</v>
      </c>
      <c r="B31" s="22">
        <v>2</v>
      </c>
      <c r="C31" s="23">
        <v>894</v>
      </c>
      <c r="D31" s="24">
        <v>320</v>
      </c>
      <c r="E31" s="25" t="s">
        <v>45</v>
      </c>
      <c r="F31" s="25"/>
      <c r="G31" s="37">
        <v>1</v>
      </c>
      <c r="H31" s="37">
        <v>1</v>
      </c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3.5760000000000001</v>
      </c>
    </row>
    <row r="32" spans="1:19" x14ac:dyDescent="0.2">
      <c r="A32" s="21">
        <v>9119872</v>
      </c>
      <c r="B32" s="22">
        <v>1</v>
      </c>
      <c r="C32" s="23">
        <v>464</v>
      </c>
      <c r="D32" s="24">
        <v>320</v>
      </c>
      <c r="E32" s="25" t="s">
        <v>29</v>
      </c>
      <c r="F32" s="25"/>
      <c r="G32" s="37">
        <v>1</v>
      </c>
      <c r="H32" s="37"/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0.46400000000000002</v>
      </c>
    </row>
    <row r="33" spans="1:15" x14ac:dyDescent="0.2">
      <c r="A33" s="21">
        <v>9119872</v>
      </c>
      <c r="B33" s="22">
        <v>1</v>
      </c>
      <c r="C33" s="23">
        <v>1100</v>
      </c>
      <c r="D33" s="24">
        <v>720</v>
      </c>
      <c r="E33" s="25" t="s">
        <v>28</v>
      </c>
      <c r="F33" s="25"/>
      <c r="G33" s="37">
        <v>1</v>
      </c>
      <c r="H33" s="37">
        <v>1</v>
      </c>
      <c r="I33" s="37">
        <v>1</v>
      </c>
      <c r="J33" s="37">
        <v>1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Negro 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Negro </v>
      </c>
      <c r="O33" s="33">
        <f t="shared" si="0"/>
        <v>3.64</v>
      </c>
    </row>
    <row r="34" spans="1:15" x14ac:dyDescent="0.2">
      <c r="A34" s="21">
        <v>9119872</v>
      </c>
      <c r="B34" s="22">
        <v>3</v>
      </c>
      <c r="C34" s="23">
        <v>1100</v>
      </c>
      <c r="D34" s="24">
        <v>300</v>
      </c>
      <c r="E34" s="25" t="s">
        <v>30</v>
      </c>
      <c r="F34" s="25"/>
      <c r="G34" s="37">
        <v>1</v>
      </c>
      <c r="H34" s="37">
        <v>1</v>
      </c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6.6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1069</v>
      </c>
      <c r="B1">
        <f>Hoja1!B16*Hoja1!C16</f>
        <v>1069</v>
      </c>
      <c r="C1">
        <f>Hoja1!B16*Hoja1!D16</f>
        <v>415</v>
      </c>
      <c r="D1">
        <f>Hoja1!B16*Hoja1!D16</f>
        <v>415</v>
      </c>
    </row>
    <row r="2" spans="1:4" x14ac:dyDescent="0.2">
      <c r="A2">
        <f>Hoja1!B17*Hoja1!C17</f>
        <v>431</v>
      </c>
      <c r="B2">
        <f>Hoja1!B17*Hoja1!C17</f>
        <v>431</v>
      </c>
      <c r="C2">
        <f>Hoja1!B17*Hoja1!D17</f>
        <v>415</v>
      </c>
      <c r="D2">
        <f>Hoja1!B17*Hoja1!D17</f>
        <v>415</v>
      </c>
    </row>
    <row r="3" spans="1:4" x14ac:dyDescent="0.2">
      <c r="A3">
        <f>Hoja1!B18*Hoja1!C18</f>
        <v>3088</v>
      </c>
      <c r="B3">
        <f>Hoja1!B18*Hoja1!C18</f>
        <v>3088</v>
      </c>
      <c r="C3">
        <f>Hoja1!B18*Hoja1!D18</f>
        <v>1660</v>
      </c>
      <c r="D3">
        <f>Hoja1!B18*Hoja1!D18</f>
        <v>1660</v>
      </c>
    </row>
    <row r="4" spans="1:4" x14ac:dyDescent="0.2">
      <c r="A4">
        <f>Hoja1!B19*Hoja1!C19</f>
        <v>1033</v>
      </c>
      <c r="B4">
        <f>Hoja1!B19*Hoja1!C19</f>
        <v>1033</v>
      </c>
      <c r="C4">
        <f>Hoja1!B19*Hoja1!D19</f>
        <v>396</v>
      </c>
      <c r="D4">
        <f>Hoja1!B19*Hoja1!D19</f>
        <v>396</v>
      </c>
    </row>
    <row r="5" spans="1:4" x14ac:dyDescent="0.2">
      <c r="A5">
        <f>Hoja1!B20*Hoja1!C20</f>
        <v>2066</v>
      </c>
      <c r="B5">
        <f>Hoja1!B20*Hoja1!C20</f>
        <v>2066</v>
      </c>
      <c r="C5">
        <f>Hoja1!B20*Hoja1!D20</f>
        <v>240</v>
      </c>
      <c r="D5">
        <f>Hoja1!B20*Hoja1!D20</f>
        <v>240</v>
      </c>
    </row>
    <row r="6" spans="1:4" x14ac:dyDescent="0.2">
      <c r="A6">
        <f>Hoja1!B21*Hoja1!C21</f>
        <v>395</v>
      </c>
      <c r="B6">
        <f>Hoja1!B21*Hoja1!C21</f>
        <v>395</v>
      </c>
      <c r="C6">
        <f>Hoja1!B21*Hoja1!D21</f>
        <v>415</v>
      </c>
      <c r="D6">
        <f>Hoja1!B21*Hoja1!D21</f>
        <v>415</v>
      </c>
    </row>
    <row r="7" spans="1:4" x14ac:dyDescent="0.2">
      <c r="A7">
        <f>Hoja1!B22*Hoja1!C22</f>
        <v>790</v>
      </c>
      <c r="B7">
        <f>Hoja1!B22*Hoja1!C22</f>
        <v>790</v>
      </c>
      <c r="C7">
        <f>Hoja1!B22*Hoja1!D22</f>
        <v>240</v>
      </c>
      <c r="D7">
        <f>Hoja1!B22*Hoja1!D22</f>
        <v>240</v>
      </c>
    </row>
    <row r="8" spans="1:4" x14ac:dyDescent="0.2">
      <c r="A8">
        <f>Hoja1!B23*Hoja1!C23</f>
        <v>786</v>
      </c>
      <c r="B8">
        <f>Hoja1!B23*Hoja1!C23</f>
        <v>786</v>
      </c>
      <c r="C8">
        <f>Hoja1!B23*Hoja1!D23</f>
        <v>427</v>
      </c>
      <c r="D8">
        <f>Hoja1!B23*Hoja1!D23</f>
        <v>427</v>
      </c>
    </row>
    <row r="9" spans="1:4" x14ac:dyDescent="0.2">
      <c r="A9">
        <f>Hoja1!B24*Hoja1!C24</f>
        <v>786</v>
      </c>
      <c r="B9">
        <f>Hoja1!B24*Hoja1!C24</f>
        <v>786</v>
      </c>
      <c r="C9">
        <f>Hoja1!B24*Hoja1!D24</f>
        <v>437</v>
      </c>
      <c r="D9">
        <f>Hoja1!B24*Hoja1!D24</f>
        <v>437</v>
      </c>
    </row>
    <row r="10" spans="1:4" x14ac:dyDescent="0.2">
      <c r="A10">
        <f>Hoja1!B25*Hoja1!C25</f>
        <v>620</v>
      </c>
      <c r="B10">
        <f>Hoja1!B25*Hoja1!C25</f>
        <v>620</v>
      </c>
      <c r="C10">
        <f>Hoja1!B25*Hoja1!D25</f>
        <v>772</v>
      </c>
      <c r="D10">
        <f>Hoja1!B25*Hoja1!D25</f>
        <v>772</v>
      </c>
    </row>
    <row r="11" spans="1:4" x14ac:dyDescent="0.2">
      <c r="A11">
        <f>Hoja1!B26*Hoja1!C26</f>
        <v>2992</v>
      </c>
      <c r="B11">
        <f>Hoja1!B26*Hoja1!C26</f>
        <v>2992</v>
      </c>
      <c r="C11">
        <f>Hoja1!B26*Hoja1!D26</f>
        <v>140</v>
      </c>
      <c r="D11">
        <f>Hoja1!B26*Hoja1!D26</f>
        <v>140</v>
      </c>
    </row>
    <row r="12" spans="1:4" x14ac:dyDescent="0.2">
      <c r="A12">
        <f>Hoja1!B27*Hoja1!C27</f>
        <v>686</v>
      </c>
      <c r="B12">
        <f>Hoja1!B27*Hoja1!C27</f>
        <v>686</v>
      </c>
      <c r="C12">
        <f>Hoja1!B27*Hoja1!D27</f>
        <v>140</v>
      </c>
      <c r="D12">
        <f>Hoja1!B27*Hoja1!D27</f>
        <v>140</v>
      </c>
    </row>
    <row r="13" spans="1:4" x14ac:dyDescent="0.2">
      <c r="A13">
        <f>Hoja1!B28*Hoja1!C28</f>
        <v>1720</v>
      </c>
      <c r="B13">
        <f>Hoja1!B28*Hoja1!C28</f>
        <v>1720</v>
      </c>
      <c r="C13">
        <f>Hoja1!B28*Hoja1!D28</f>
        <v>140</v>
      </c>
      <c r="D13">
        <f>Hoja1!B28*Hoja1!D28</f>
        <v>140</v>
      </c>
    </row>
    <row r="14" spans="1:4" x14ac:dyDescent="0.2">
      <c r="A14">
        <f>Hoja1!B29*Hoja1!C29</f>
        <v>1500</v>
      </c>
      <c r="B14">
        <f>Hoja1!B29*Hoja1!C29</f>
        <v>1500</v>
      </c>
      <c r="C14">
        <f>Hoja1!B29*Hoja1!D29</f>
        <v>860</v>
      </c>
      <c r="D14">
        <f>Hoja1!B29*Hoja1!D29</f>
        <v>860</v>
      </c>
    </row>
    <row r="15" spans="1:4" x14ac:dyDescent="0.2">
      <c r="A15">
        <f>Hoja1!B30*Hoja1!C30</f>
        <v>1000</v>
      </c>
      <c r="B15">
        <f>Hoja1!B30*Hoja1!C30</f>
        <v>1000</v>
      </c>
      <c r="C15">
        <f>Hoja1!B30*Hoja1!D30</f>
        <v>640</v>
      </c>
      <c r="D15">
        <f>Hoja1!B30*Hoja1!D30</f>
        <v>640</v>
      </c>
    </row>
    <row r="16" spans="1:4" x14ac:dyDescent="0.2">
      <c r="A16">
        <f>Hoja1!B31*Hoja1!C31</f>
        <v>1788</v>
      </c>
      <c r="B16">
        <f>Hoja1!B31*Hoja1!C31</f>
        <v>1788</v>
      </c>
      <c r="C16">
        <f>Hoja1!B31*Hoja1!D31</f>
        <v>640</v>
      </c>
      <c r="D16">
        <f>Hoja1!B31*Hoja1!D31</f>
        <v>640</v>
      </c>
    </row>
    <row r="17" spans="1:4" x14ac:dyDescent="0.2">
      <c r="A17">
        <f>Hoja1!B32*Hoja1!C32</f>
        <v>464</v>
      </c>
      <c r="B17">
        <f>Hoja1!B32*Hoja1!C32</f>
        <v>464</v>
      </c>
      <c r="C17">
        <f>Hoja1!B32*Hoja1!D32</f>
        <v>320</v>
      </c>
      <c r="D17">
        <f>Hoja1!B32*Hoja1!D32</f>
        <v>320</v>
      </c>
    </row>
    <row r="18" spans="1:4" x14ac:dyDescent="0.2">
      <c r="A18">
        <f>Hoja1!B33*Hoja1!C33</f>
        <v>1100</v>
      </c>
      <c r="B18">
        <f>Hoja1!B33*Hoja1!C33</f>
        <v>1100</v>
      </c>
      <c r="C18">
        <f>Hoja1!B33*Hoja1!D33</f>
        <v>720</v>
      </c>
      <c r="D18">
        <f>Hoja1!B33*Hoja1!D33</f>
        <v>720</v>
      </c>
    </row>
    <row r="19" spans="1:4" x14ac:dyDescent="0.2">
      <c r="A19">
        <f>Hoja1!B34*Hoja1!C34</f>
        <v>3300</v>
      </c>
      <c r="B19">
        <f>Hoja1!B34*Hoja1!C34</f>
        <v>3300</v>
      </c>
      <c r="C19">
        <f>Hoja1!B34*Hoja1!D34</f>
        <v>900</v>
      </c>
      <c r="D19">
        <f>Hoja1!B34*Hoja1!D34</f>
        <v>900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2025-06-04T00:39:05Z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