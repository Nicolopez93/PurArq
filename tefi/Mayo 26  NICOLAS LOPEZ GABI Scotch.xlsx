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tefi\"/>
    </mc:Choice>
  </mc:AlternateContent>
  <xr:revisionPtr revIDLastSave="0" documentId="13_ncr:1_{3B228868-8EB2-440C-B704-C23CCA4584C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<sst xmlns="http://schemas.openxmlformats.org/spreadsheetml/2006/main" count="44" uniqueCount="35">
  <si>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</si>
  <si>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</si>
  <si>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</si>
  <si>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</si>
  <si>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</si>
  <si>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</si>
  <si>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</si>
  <si>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</si>
  <si>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</si>
  <si>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</si>
  <si>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</si>
  <si>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</si>
  <si>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</si>
  <si>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</si>
  <si>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</si>
  <si>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</si>
  <si>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</si>
  <si>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</si>
  <si>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</si>
  <si>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</si>
  <si>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</si>
  <si>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</si>
  <si>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</si>
  <si>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</si>
  <si>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</si>
  <si>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</si>
  <si>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</si>
  <si>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 xml:space="preserve">base final </t>
  </si>
  <si>
    <t xml:space="preserve">patas </t>
  </si>
  <si>
    <t>lat caja</t>
  </si>
  <si>
    <t>zocalo</t>
  </si>
  <si>
    <t>lat caja int</t>
  </si>
  <si>
    <t xml:space="preserve">fondo </t>
  </si>
  <si>
    <t>estante</t>
  </si>
  <si>
    <t>045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</si>
</sst>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2" zoomScale="130" zoomScaleNormal="130" workbookViewId="0">
      <selection activeCell="A24" sqref="A24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34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144.74799999999999</v>
      </c>
      <c r="F3" s="47">
        <v>9132854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30.765000000000001</v>
      </c>
      <c r="R15" s="19" t="s">
        <v>24</v>
      </c>
      <c r="S15" s="20" t="s">
        <v>25</v>
      </c>
    </row>
    <row r="16" spans="1:20" ht="15.75" x14ac:dyDescent="0.25">
      <c r="A16" s="21">
        <v>9132854</v>
      </c>
      <c r="B16" s="22">
        <v>2</v>
      </c>
      <c r="C16" s="23">
        <v>594</v>
      </c>
      <c r="D16" s="24">
        <v>435</v>
      </c>
      <c r="E16" s="25" t="s">
        <v>27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Home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Home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Home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Home</v>
      </c>
      <c r="O16" s="33">
        <f t="shared" ref="O16:O79" si="0">(IF(G16&gt;0,C16,0)+IF(H16&gt;0,C16,0)+IF(I16&gt;0,D16,0)+IF(J16&gt;0,D16,0))*B16/1000</f>
        <v>4.1159999999999997</v>
      </c>
      <c r="Q16">
        <v>1</v>
      </c>
      <c r="R16" s="34">
        <f>((SUMIF(G16:G1016,D3,Hoja3!A1:A1001)+SUMIF(H16:H1016,D3,Hoja3!B1:B1001)+SUMIF(I16:I1016,D3,Hoja3!C1:C1001)+SUMIF(J16:J1016,D3,Hoja3!D1:D1001))/1000)*1.05</f>
        <v>30.765000000000001</v>
      </c>
      <c r="S16" s="35" t="str">
        <f t="shared" ref="S16:S23" si="1">A3</f>
        <v>045 Home</v>
      </c>
    </row>
    <row r="17" spans="1:19" ht="15.75" x14ac:dyDescent="0.25">
      <c r="A17" s="21">
        <v>9132854</v>
      </c>
      <c r="B17" s="22">
        <v>4</v>
      </c>
      <c r="C17" s="23">
        <v>572</v>
      </c>
      <c r="D17" s="24">
        <v>433</v>
      </c>
      <c r="E17" s="25" t="s">
        <v>28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Home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Home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Home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Home</v>
      </c>
      <c r="O17" s="33">
        <f t="shared" si="0"/>
        <v>8.0399999999999991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9132854</v>
      </c>
      <c r="B18" s="22">
        <v>4</v>
      </c>
      <c r="C18" s="23">
        <v>554</v>
      </c>
      <c r="D18" s="24">
        <v>168</v>
      </c>
      <c r="E18" s="25" t="s">
        <v>29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Home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Home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4.4320000000000004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9132854</v>
      </c>
      <c r="B19" s="22">
        <v>4</v>
      </c>
      <c r="C19" s="23">
        <v>397</v>
      </c>
      <c r="D19" s="24">
        <v>150</v>
      </c>
      <c r="E19" s="25" t="s">
        <v>31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Home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Home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3.1760000000000002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9132854</v>
      </c>
      <c r="B20" s="22">
        <v>4</v>
      </c>
      <c r="C20" s="23">
        <v>518</v>
      </c>
      <c r="D20" s="24">
        <v>150</v>
      </c>
      <c r="E20" s="25" t="s">
        <v>31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Home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Home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4.1440000000000001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9132854</v>
      </c>
      <c r="B21" s="22">
        <v>4</v>
      </c>
      <c r="C21" s="23">
        <v>361</v>
      </c>
      <c r="D21" s="24">
        <v>70</v>
      </c>
      <c r="E21" s="25" t="s">
        <v>30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Home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1.444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9132854</v>
      </c>
      <c r="B22" s="22">
        <v>2</v>
      </c>
      <c r="C22" s="23">
        <v>554</v>
      </c>
      <c r="D22" s="24">
        <v>397</v>
      </c>
      <c r="E22" s="25" t="s">
        <v>32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9132854</v>
      </c>
      <c r="B23" s="22">
        <v>2</v>
      </c>
      <c r="C23" s="23">
        <v>554</v>
      </c>
      <c r="D23" s="24">
        <v>433</v>
      </c>
      <c r="E23" s="25" t="s">
        <v>33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Home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Home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Home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Home</v>
      </c>
      <c r="O23" s="33">
        <f t="shared" si="0"/>
        <v>3.948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30.765000000000001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1188</v>
      </c>
      <c r="B1">
        <f>Hoja1!B16*Hoja1!C16</f>
        <v>1188</v>
      </c>
      <c r="C1">
        <f>Hoja1!B16*Hoja1!D16</f>
        <v>870</v>
      </c>
      <c r="D1">
        <f>Hoja1!B16*Hoja1!D16</f>
        <v>870</v>
      </c>
    </row>
    <row r="2" spans="1:4" x14ac:dyDescent="0.2">
      <c r="A2">
        <f>Hoja1!B17*Hoja1!C17</f>
        <v>2288</v>
      </c>
      <c r="B2">
        <f>Hoja1!B17*Hoja1!C17</f>
        <v>2288</v>
      </c>
      <c r="C2">
        <f>Hoja1!B17*Hoja1!D17</f>
        <v>1732</v>
      </c>
      <c r="D2">
        <f>Hoja1!B17*Hoja1!D17</f>
        <v>1732</v>
      </c>
    </row>
    <row r="3" spans="1:4" x14ac:dyDescent="0.2">
      <c r="A3">
        <f>Hoja1!B18*Hoja1!C18</f>
        <v>2216</v>
      </c>
      <c r="B3">
        <f>Hoja1!B18*Hoja1!C18</f>
        <v>2216</v>
      </c>
      <c r="C3">
        <f>Hoja1!B18*Hoja1!D18</f>
        <v>672</v>
      </c>
      <c r="D3">
        <f>Hoja1!B18*Hoja1!D18</f>
        <v>672</v>
      </c>
    </row>
    <row r="4" spans="1:4" x14ac:dyDescent="0.2">
      <c r="A4">
        <f>Hoja1!B19*Hoja1!C19</f>
        <v>1588</v>
      </c>
      <c r="B4">
        <f>Hoja1!B19*Hoja1!C19</f>
        <v>1588</v>
      </c>
      <c r="C4">
        <f>Hoja1!B19*Hoja1!D19</f>
        <v>600</v>
      </c>
      <c r="D4">
        <f>Hoja1!B19*Hoja1!D19</f>
        <v>600</v>
      </c>
    </row>
    <row r="5" spans="1:4" x14ac:dyDescent="0.2">
      <c r="A5">
        <f>Hoja1!B20*Hoja1!C20</f>
        <v>2072</v>
      </c>
      <c r="B5">
        <f>Hoja1!B20*Hoja1!C20</f>
        <v>2072</v>
      </c>
      <c r="C5">
        <f>Hoja1!B20*Hoja1!D20</f>
        <v>600</v>
      </c>
      <c r="D5">
        <f>Hoja1!B20*Hoja1!D20</f>
        <v>600</v>
      </c>
    </row>
    <row r="6" spans="1:4" x14ac:dyDescent="0.2">
      <c r="A6">
        <f>Hoja1!B21*Hoja1!C21</f>
        <v>1444</v>
      </c>
      <c r="B6">
        <f>Hoja1!B21*Hoja1!C21</f>
        <v>1444</v>
      </c>
      <c r="C6">
        <f>Hoja1!B21*Hoja1!D21</f>
        <v>280</v>
      </c>
      <c r="D6">
        <f>Hoja1!B21*Hoja1!D21</f>
        <v>280</v>
      </c>
    </row>
    <row r="7" spans="1:4" x14ac:dyDescent="0.2">
      <c r="A7">
        <f>Hoja1!B22*Hoja1!C22</f>
        <v>1108</v>
      </c>
      <c r="B7">
        <f>Hoja1!B22*Hoja1!C22</f>
        <v>1108</v>
      </c>
      <c r="C7">
        <f>Hoja1!B22*Hoja1!D22</f>
        <v>794</v>
      </c>
      <c r="D7">
        <f>Hoja1!B22*Hoja1!D22</f>
        <v>794</v>
      </c>
    </row>
    <row r="8" spans="1:4" x14ac:dyDescent="0.2">
      <c r="A8">
        <f>Hoja1!B23*Hoja1!C23</f>
        <v>1108</v>
      </c>
      <c r="B8">
        <f>Hoja1!B23*Hoja1!C23</f>
        <v>1108</v>
      </c>
      <c r="C8">
        <f>Hoja1!B23*Hoja1!D23</f>
        <v>866</v>
      </c>
      <c r="D8">
        <f>Hoja1!B23*Hoja1!D23</f>
        <v>866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2025-05-25T22:41:41Z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