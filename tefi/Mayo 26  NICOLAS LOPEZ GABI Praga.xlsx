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tefi\"/>
    </mc:Choice>
  </mc:AlternateContent>
  <xr:revisionPtr revIDLastSave="0" documentId="13_ncr:1_{884C3BCC-12EA-49A3-AF11-E776BDB28D18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<sst xmlns="http://schemas.openxmlformats.org/spreadsheetml/2006/main" count="37" uniqueCount="29">
  <si>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</si>
  <si>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</si>
  <si>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</si>
  <si>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</si>
  <si>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</si>
  <si>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</si>
  <si>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</si>
  <si>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</si>
  <si>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</si>
  <si>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</si>
  <si>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</si>
  <si>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</si>
  <si>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</si>
  <si>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</si>
  <si>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</si>
  <si>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</si>
  <si>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</si>
  <si>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</si>
  <si>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</si>
  <si>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</si>
  <si>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</si>
  <si>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</si>
  <si>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</si>
  <si>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</si>
  <si>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</si>
  <si>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</si>
  <si>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</si>
  <si>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Praga</t>
  </si>
  <si>
    <t>varilla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</si>
</sst>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17" sqref="A1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93.67</v>
      </c>
      <c r="F3" s="51">
        <v>9121998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191.12100000000001</v>
      </c>
      <c r="R15" s="19" t="s">
        <v>24</v>
      </c>
      <c r="S15" s="20" t="s">
        <v>25</v>
      </c>
    </row>
    <row r="16" spans="1:20" ht="15.75" x14ac:dyDescent="0.25">
      <c r="A16" s="21">
        <v>9121998</v>
      </c>
      <c r="B16" s="22">
        <v>38</v>
      </c>
      <c r="C16" s="23">
        <v>2395</v>
      </c>
      <c r="D16" s="24">
        <v>70</v>
      </c>
      <c r="E16" s="25" t="s">
        <v>28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Praga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Praga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182.02</v>
      </c>
      <c r="Q16">
        <v>1</v>
      </c>
      <c r="R16" s="34">
        <f>((SUMIF(G16:G1016,D3,Hoja3!A1:A1001)+SUMIF(H16:H1016,D3,Hoja3!B1:B1001)+SUMIF(I16:I1016,D3,Hoja3!C1:C1001)+SUMIF(J16:J1016,D3,Hoja3!D1:D1001))/1000)*1.05</f>
        <v>191.12100000000001</v>
      </c>
      <c r="S16" s="35" t="str">
        <f t="shared" ref="S16:S23" si="1">A3</f>
        <v>045 Praga</v>
      </c>
    </row>
    <row r="17" spans="1:19" ht="15.75" x14ac:dyDescent="0.25">
      <c r="A17" s="21"/>
      <c r="B17" s="22"/>
      <c r="C17" s="23"/>
      <c r="D17" s="24"/>
      <c r="E17" s="25"/>
      <c r="F17" s="25"/>
      <c r="G17" s="36"/>
      <c r="H17" s="36"/>
      <c r="I17" s="36"/>
      <c r="J17" s="36"/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/>
      <c r="B18" s="22"/>
      <c r="C18" s="23"/>
      <c r="D18" s="24"/>
      <c r="E18" s="25"/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/>
      <c r="B19" s="22"/>
      <c r="C19" s="23"/>
      <c r="D19" s="24"/>
      <c r="E19" s="25"/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191.12100000000001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91010</v>
      </c>
      <c r="B1">
        <f>Hoja1!B16*Hoja1!C16</f>
        <v>91010</v>
      </c>
      <c r="C1">
        <f>Hoja1!B16*Hoja1!D16</f>
        <v>2660</v>
      </c>
      <c r="D1">
        <f>Hoja1!B16*Hoja1!D16</f>
        <v>2660</v>
      </c>
    </row>
    <row r="2" spans="1:4" x14ac:dyDescent="0.2">
      <c r="A2">
        <f>Hoja1!B17*Hoja1!C17</f>
        <v>0</v>
      </c>
      <c r="B2">
        <f>Hoja1!B17*Hoja1!C17</f>
        <v>0</v>
      </c>
      <c r="C2">
        <f>Hoja1!B17*Hoja1!D17</f>
        <v>0</v>
      </c>
      <c r="D2">
        <f>Hoja1!B17*Hoja1!D17</f>
        <v>0</v>
      </c>
    </row>
    <row r="3" spans="1:4" x14ac:dyDescent="0.2">
      <c r="A3">
        <f>Hoja1!B18*Hoja1!C18</f>
        <v>0</v>
      </c>
      <c r="B3">
        <f>Hoja1!B18*Hoja1!C18</f>
        <v>0</v>
      </c>
      <c r="C3">
        <f>Hoja1!B18*Hoja1!D18</f>
        <v>0</v>
      </c>
      <c r="D3">
        <f>Hoja1!B18*Hoja1!D18</f>
        <v>0</v>
      </c>
    </row>
    <row r="4" spans="1:4" x14ac:dyDescent="0.2">
      <c r="A4">
        <f>Hoja1!B19*Hoja1!C19</f>
        <v>0</v>
      </c>
      <c r="B4">
        <f>Hoja1!B19*Hoja1!C19</f>
        <v>0</v>
      </c>
      <c r="C4">
        <f>Hoja1!B19*Hoja1!D19</f>
        <v>0</v>
      </c>
      <c r="D4">
        <f>Hoja1!B19*Hoja1!D19</f>
        <v>0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2025-05-25T22:50:08Z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