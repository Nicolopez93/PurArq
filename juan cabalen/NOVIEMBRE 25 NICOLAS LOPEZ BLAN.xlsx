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juan cabalen\"/>
    </mc:Choice>
  </mc:AlternateContent>
  <xr:revisionPtr revIDLastSave="0" documentId="13_ncr:1_{91A9808F-DCEA-47D4-A15A-1B7CD07EE7C6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<sst xmlns="http://schemas.openxmlformats.org/spreadsheetml/2006/main" count="52" uniqueCount="37">
  <si>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</si>
  <si>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</si>
  <si>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</si>
  <si>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</si>
  <si>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</si>
  <si>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</si>
  <si>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</si>
  <si>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</si>
  <si>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</si>
  <si>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</si>
  <si>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</si>
  <si>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</si>
  <si>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</si>
  <si>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</si>
  <si>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</si>
  <si>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</si>
  <si>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</si>
  <si>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</si>
  <si>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</si>
  <si>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</si>
  <si>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</si>
  <si>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</si>
  <si>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</si>
  <si>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</si>
  <si>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</si>
  <si>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</si>
  <si>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</si>
  <si>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</si>
  <si>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</si>
  <si>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tapa final</t>
  </si>
  <si>
    <t>base 1y2</t>
  </si>
  <si>
    <t>lat rack</t>
  </si>
  <si>
    <t>base3</t>
  </si>
  <si>
    <t>base4</t>
  </si>
  <si>
    <t>lat final</t>
  </si>
  <si>
    <t>puertas</t>
  </si>
  <si>
    <t>fondo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</si>
</sst>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A26" sqref="A26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281.48200000000003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34.2468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1</v>
      </c>
      <c r="C16" s="23">
        <v>2664</v>
      </c>
      <c r="D16" s="24">
        <v>404</v>
      </c>
      <c r="E16" s="25" t="s">
        <v>29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6" s="33">
        <f t="shared" ref="O16:O79" si="0">(IF(G16&gt;0,C16,0)+IF(H16&gt;0,C16,0)+IF(I16&gt;0,D16,0)+IF(J16&gt;0,D16,0))*B16/1000</f>
        <v>6.1360000000000001</v>
      </c>
      <c r="Q16">
        <v>1</v>
      </c>
      <c r="R16" s="34">
        <f>((SUMIF(G16:G1016,D3,Hoja3!A1:A1001)+SUMIF(H16:H1016,D3,Hoja3!B1:B1001)+SUMIF(I16:I1016,D3,Hoja3!C1:C1001)+SUMIF(J16:J1016,D3,Hoja3!D1:D1001))/1000)*1.05</f>
        <v>34.2468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842</v>
      </c>
      <c r="D17" s="24">
        <v>382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6.7359999999999998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8</v>
      </c>
      <c r="C18" s="23">
        <v>296</v>
      </c>
      <c r="D18" s="24">
        <v>382</v>
      </c>
      <c r="E18" s="25" t="s">
        <v>31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2.3679999999999999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421</v>
      </c>
      <c r="D19" s="24">
        <v>382</v>
      </c>
      <c r="E19" s="25" t="s">
        <v>32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0.84199999999999997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541</v>
      </c>
      <c r="D20" s="24">
        <v>382</v>
      </c>
      <c r="E20" s="25" t="s">
        <v>33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1.0820000000000001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1</v>
      </c>
      <c r="C21" s="23">
        <v>382</v>
      </c>
      <c r="D21" s="24">
        <v>332</v>
      </c>
      <c r="E21" s="25" t="s">
        <v>34</v>
      </c>
      <c r="F21" s="25"/>
      <c r="G21" s="37">
        <v>1</v>
      </c>
      <c r="H21" s="37"/>
      <c r="I21" s="37">
        <v>1</v>
      </c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0.71399999999999997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5</v>
      </c>
      <c r="C22" s="23">
        <v>417</v>
      </c>
      <c r="D22" s="24">
        <v>328</v>
      </c>
      <c r="E22" s="25" t="s">
        <v>35</v>
      </c>
      <c r="F22" s="25"/>
      <c r="G22" s="36">
        <v>1</v>
      </c>
      <c r="H22" s="36">
        <v>1</v>
      </c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2" s="33">
        <f t="shared" si="0"/>
        <v>7.45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2664</v>
      </c>
      <c r="D23" s="24">
        <v>980</v>
      </c>
      <c r="E23" s="25" t="s">
        <v>36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3" s="33">
        <f t="shared" si="0"/>
        <v>7.2880000000000003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34.2468</v>
      </c>
      <c r="S24" s="39" t="s">
        <v>27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2664</v>
      </c>
      <c r="B1">
        <f>Hoja1!B16*Hoja1!C16</f>
        <v>2664</v>
      </c>
      <c r="C1">
        <f>Hoja1!B16*Hoja1!D16</f>
        <v>404</v>
      </c>
      <c r="D1">
        <f>Hoja1!B16*Hoja1!D16</f>
        <v>404</v>
      </c>
    </row>
    <row r="2" spans="1:4" x14ac:dyDescent="0.2">
      <c r="A2">
        <f>Hoja1!B17*Hoja1!C17</f>
        <v>3368</v>
      </c>
      <c r="B2">
        <f>Hoja1!B17*Hoja1!C17</f>
        <v>3368</v>
      </c>
      <c r="C2">
        <f>Hoja1!B17*Hoja1!D17</f>
        <v>1528</v>
      </c>
      <c r="D2">
        <f>Hoja1!B17*Hoja1!D17</f>
        <v>1528</v>
      </c>
    </row>
    <row r="3" spans="1:4" x14ac:dyDescent="0.2">
      <c r="A3">
        <f>Hoja1!B18*Hoja1!C18</f>
        <v>2368</v>
      </c>
      <c r="B3">
        <f>Hoja1!B18*Hoja1!C18</f>
        <v>2368</v>
      </c>
      <c r="C3">
        <f>Hoja1!B18*Hoja1!D18</f>
        <v>3056</v>
      </c>
      <c r="D3">
        <f>Hoja1!B18*Hoja1!D18</f>
        <v>3056</v>
      </c>
    </row>
    <row r="4" spans="1:4" x14ac:dyDescent="0.2">
      <c r="A4">
        <f>Hoja1!B19*Hoja1!C19</f>
        <v>842</v>
      </c>
      <c r="B4">
        <f>Hoja1!B19*Hoja1!C19</f>
        <v>842</v>
      </c>
      <c r="C4">
        <f>Hoja1!B19*Hoja1!D19</f>
        <v>764</v>
      </c>
      <c r="D4">
        <f>Hoja1!B19*Hoja1!D19</f>
        <v>764</v>
      </c>
    </row>
    <row r="5" spans="1:4" x14ac:dyDescent="0.2">
      <c r="A5">
        <f>Hoja1!B20*Hoja1!C20</f>
        <v>1082</v>
      </c>
      <c r="B5">
        <f>Hoja1!B20*Hoja1!C20</f>
        <v>1082</v>
      </c>
      <c r="C5">
        <f>Hoja1!B20*Hoja1!D20</f>
        <v>764</v>
      </c>
      <c r="D5">
        <f>Hoja1!B20*Hoja1!D20</f>
        <v>764</v>
      </c>
    </row>
    <row r="6" spans="1:4" x14ac:dyDescent="0.2">
      <c r="A6">
        <f>Hoja1!B21*Hoja1!C21</f>
        <v>382</v>
      </c>
      <c r="B6">
        <f>Hoja1!B21*Hoja1!C21</f>
        <v>382</v>
      </c>
      <c r="C6">
        <f>Hoja1!B21*Hoja1!D21</f>
        <v>332</v>
      </c>
      <c r="D6">
        <f>Hoja1!B21*Hoja1!D21</f>
        <v>332</v>
      </c>
    </row>
    <row r="7" spans="1:4" x14ac:dyDescent="0.2">
      <c r="A7">
        <f>Hoja1!B22*Hoja1!C22</f>
        <v>2085</v>
      </c>
      <c r="B7">
        <f>Hoja1!B22*Hoja1!C22</f>
        <v>2085</v>
      </c>
      <c r="C7">
        <f>Hoja1!B22*Hoja1!D22</f>
        <v>1640</v>
      </c>
      <c r="D7">
        <f>Hoja1!B22*Hoja1!D22</f>
        <v>1640</v>
      </c>
    </row>
    <row r="8" spans="1:4" x14ac:dyDescent="0.2">
      <c r="A8">
        <f>Hoja1!B23*Hoja1!C23</f>
        <v>2664</v>
      </c>
      <c r="B8">
        <f>Hoja1!B23*Hoja1!C23</f>
        <v>2664</v>
      </c>
      <c r="C8">
        <f>Hoja1!B23*Hoja1!D23</f>
        <v>980</v>
      </c>
      <c r="D8">
        <f>Hoja1!B23*Hoja1!D23</f>
        <v>980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2024-11-25T13:59:29Z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