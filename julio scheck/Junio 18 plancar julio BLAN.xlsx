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ulio scheck\"/>
    </mc:Choice>
  </mc:AlternateContent>
  <xr:revisionPtr revIDLastSave="0" documentId="13_ncr:1_{44B6D665-C84F-4654-8F0C-A4859A5F338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<sst xmlns="http://schemas.openxmlformats.org/spreadsheetml/2006/main" count="64" uniqueCount="43">
  <si>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</si>
  <si>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</si>
  <si>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</si>
  <si>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</si>
  <si>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</si>
  <si>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</si>
  <si>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</si>
  <si>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</si>
  <si>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</si>
  <si>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</si>
  <si>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</si>
  <si>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</si>
  <si>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</si>
  <si>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</si>
  <si>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</si>
  <si>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</si>
  <si>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</si>
  <si>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</si>
  <si>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</si>
  <si>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</si>
  <si>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</si>
  <si>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</si>
  <si>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</si>
  <si>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</si>
  <si>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</si>
  <si>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</si>
  <si>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</si>
  <si>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</si>
  <si>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</si>
  <si>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estante 2</t>
  </si>
  <si>
    <t>tapas cajon</t>
  </si>
  <si>
    <t>lat cajon</t>
  </si>
  <si>
    <t>base medio</t>
  </si>
  <si>
    <t>base sup</t>
  </si>
  <si>
    <t>lat infe</t>
  </si>
  <si>
    <t>lat sup</t>
  </si>
  <si>
    <t>estante</t>
  </si>
  <si>
    <t>estante 1</t>
  </si>
  <si>
    <t>base medio1</t>
  </si>
  <si>
    <t>base sup 1</t>
  </si>
  <si>
    <t>soporte 1</t>
  </si>
  <si>
    <t>base sup 2</t>
  </si>
  <si>
    <t>base medio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</si>
</sst>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3" zoomScale="130" zoomScaleNormal="130" workbookViewId="0">
      <selection activeCell="C34" sqref="C3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2028.932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165.84960000000001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8</v>
      </c>
      <c r="C16" s="23">
        <v>450</v>
      </c>
      <c r="D16" s="24">
        <v>450</v>
      </c>
      <c r="E16" s="25" t="s">
        <v>32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7.2</v>
      </c>
      <c r="Q16">
        <v>1</v>
      </c>
      <c r="R16" s="34">
        <f>((SUMIF(G16:G1016,D3,Hoja3!A1:A1001)+SUMIF(H16:H1016,D3,Hoja3!B1:B1001)+SUMIF(I16:I1016,D3,Hoja3!C1:C1001)+SUMIF(J16:J1016,D3,Hoja3!D1:D1001))/1000)*1.05</f>
        <v>165.84960000000001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450</v>
      </c>
      <c r="D17" s="24">
        <v>432</v>
      </c>
      <c r="E17" s="25" t="s">
        <v>33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16</v>
      </c>
      <c r="C18" s="23">
        <v>848</v>
      </c>
      <c r="D18" s="24">
        <v>432</v>
      </c>
      <c r="E18" s="25" t="s">
        <v>34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27.135999999999999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16</v>
      </c>
      <c r="C19" s="23">
        <v>1062</v>
      </c>
      <c r="D19" s="24">
        <v>432</v>
      </c>
      <c r="E19" s="25" t="s">
        <v>35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33.984000000000002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12</v>
      </c>
      <c r="C20" s="23">
        <v>414</v>
      </c>
      <c r="D20" s="24">
        <v>432</v>
      </c>
      <c r="E20" s="25" t="s">
        <v>36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9.9359999999999999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8</v>
      </c>
      <c r="C21" s="23">
        <v>446</v>
      </c>
      <c r="D21" s="24">
        <v>200</v>
      </c>
      <c r="E21" s="25" t="s">
        <v>30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10.336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16</v>
      </c>
      <c r="C22" s="23">
        <v>387</v>
      </c>
      <c r="D22" s="24">
        <v>150</v>
      </c>
      <c r="E22" s="25" t="s">
        <v>31</v>
      </c>
      <c r="F22" s="25"/>
      <c r="G22" s="36">
        <v>1</v>
      </c>
      <c r="H22" s="36"/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10.992000000000001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16</v>
      </c>
      <c r="C23" s="23">
        <v>364</v>
      </c>
      <c r="D23" s="24">
        <v>150</v>
      </c>
      <c r="E23" s="25" t="s">
        <v>31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11.648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1112</v>
      </c>
      <c r="D24" s="24">
        <v>432</v>
      </c>
      <c r="E24" s="25" t="s">
        <v>39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4.4480000000000004</v>
      </c>
      <c r="R24" s="38">
        <f>SUM(R16:R23)</f>
        <v>165.84960000000001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1076</v>
      </c>
      <c r="D25" s="24">
        <v>432</v>
      </c>
      <c r="E25" s="25" t="s">
        <v>37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4.3040000000000003</v>
      </c>
    </row>
    <row r="26" spans="1:19" x14ac:dyDescent="0.2">
      <c r="A26" s="21" t="s">
        <v>26</v>
      </c>
      <c r="B26" s="22">
        <v>4</v>
      </c>
      <c r="C26" s="23">
        <v>1112</v>
      </c>
      <c r="D26" s="24">
        <v>450</v>
      </c>
      <c r="E26" s="25" t="s">
        <v>38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8.8960000000000008</v>
      </c>
    </row>
    <row r="27" spans="1:19" x14ac:dyDescent="0.2">
      <c r="A27" s="21" t="s">
        <v>26</v>
      </c>
      <c r="B27" s="22">
        <v>4</v>
      </c>
      <c r="C27" s="23">
        <v>1964</v>
      </c>
      <c r="D27" s="24">
        <v>100</v>
      </c>
      <c r="E27" s="25" t="s">
        <v>40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7.8559999999999999</v>
      </c>
    </row>
    <row r="28" spans="1:19" x14ac:dyDescent="0.2">
      <c r="A28" s="21" t="s">
        <v>26</v>
      </c>
      <c r="B28" s="22">
        <v>2</v>
      </c>
      <c r="C28" s="23">
        <v>1110</v>
      </c>
      <c r="D28" s="24">
        <v>432</v>
      </c>
      <c r="E28" s="25" t="s">
        <v>41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4.4400000000000004</v>
      </c>
    </row>
    <row r="29" spans="1:19" x14ac:dyDescent="0.2">
      <c r="A29" s="21" t="s">
        <v>26</v>
      </c>
      <c r="B29" s="22">
        <v>2</v>
      </c>
      <c r="C29" s="23">
        <v>1074</v>
      </c>
      <c r="D29" s="24">
        <v>432</v>
      </c>
      <c r="E29" s="25" t="s">
        <v>29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4.2960000000000003</v>
      </c>
    </row>
    <row r="30" spans="1:19" x14ac:dyDescent="0.2">
      <c r="A30" s="21" t="s">
        <v>26</v>
      </c>
      <c r="B30" s="22">
        <v>4</v>
      </c>
      <c r="C30" s="23">
        <v>1110</v>
      </c>
      <c r="D30" s="24">
        <v>450</v>
      </c>
      <c r="E30" s="25" t="s">
        <v>42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8.8800000000000008</v>
      </c>
    </row>
    <row r="31" spans="1:19" x14ac:dyDescent="0.2">
      <c r="A31" s="21"/>
      <c r="B31" s="22"/>
      <c r="C31" s="23"/>
      <c r="D31" s="24"/>
      <c r="E31" s="25"/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3600</v>
      </c>
      <c r="B1">
        <f>Hoja1!B16*Hoja1!C16</f>
        <v>3600</v>
      </c>
      <c r="C1">
        <f>Hoja1!B16*Hoja1!D16</f>
        <v>3600</v>
      </c>
      <c r="D1">
        <f>Hoja1!B16*Hoja1!D16</f>
        <v>3600</v>
      </c>
    </row>
    <row r="2" spans="1:4" x14ac:dyDescent="0.2">
      <c r="A2">
        <f>Hoja1!B17*Hoja1!C17</f>
        <v>1800</v>
      </c>
      <c r="B2">
        <f>Hoja1!B17*Hoja1!C17</f>
        <v>1800</v>
      </c>
      <c r="C2">
        <f>Hoja1!B17*Hoja1!D17</f>
        <v>1728</v>
      </c>
      <c r="D2">
        <f>Hoja1!B17*Hoja1!D17</f>
        <v>1728</v>
      </c>
    </row>
    <row r="3" spans="1:4" x14ac:dyDescent="0.2">
      <c r="A3">
        <f>Hoja1!B18*Hoja1!C18</f>
        <v>13568</v>
      </c>
      <c r="B3">
        <f>Hoja1!B18*Hoja1!C18</f>
        <v>13568</v>
      </c>
      <c r="C3">
        <f>Hoja1!B18*Hoja1!D18</f>
        <v>6912</v>
      </c>
      <c r="D3">
        <f>Hoja1!B18*Hoja1!D18</f>
        <v>6912</v>
      </c>
    </row>
    <row r="4" spans="1:4" x14ac:dyDescent="0.2">
      <c r="A4">
        <f>Hoja1!B19*Hoja1!C19</f>
        <v>16992</v>
      </c>
      <c r="B4">
        <f>Hoja1!B19*Hoja1!C19</f>
        <v>16992</v>
      </c>
      <c r="C4">
        <f>Hoja1!B19*Hoja1!D19</f>
        <v>6912</v>
      </c>
      <c r="D4">
        <f>Hoja1!B19*Hoja1!D19</f>
        <v>6912</v>
      </c>
    </row>
    <row r="5" spans="1:4" x14ac:dyDescent="0.2">
      <c r="A5">
        <f>Hoja1!B20*Hoja1!C20</f>
        <v>4968</v>
      </c>
      <c r="B5">
        <f>Hoja1!B20*Hoja1!C20</f>
        <v>4968</v>
      </c>
      <c r="C5">
        <f>Hoja1!B20*Hoja1!D20</f>
        <v>5184</v>
      </c>
      <c r="D5">
        <f>Hoja1!B20*Hoja1!D20</f>
        <v>5184</v>
      </c>
    </row>
    <row r="6" spans="1:4" x14ac:dyDescent="0.2">
      <c r="A6">
        <f>Hoja1!B21*Hoja1!C21</f>
        <v>3568</v>
      </c>
      <c r="B6">
        <f>Hoja1!B21*Hoja1!C21</f>
        <v>3568</v>
      </c>
      <c r="C6">
        <f>Hoja1!B21*Hoja1!D21</f>
        <v>1600</v>
      </c>
      <c r="D6">
        <f>Hoja1!B21*Hoja1!D21</f>
        <v>1600</v>
      </c>
    </row>
    <row r="7" spans="1:4" x14ac:dyDescent="0.2">
      <c r="A7">
        <f>Hoja1!B22*Hoja1!C22</f>
        <v>6192</v>
      </c>
      <c r="B7">
        <f>Hoja1!B22*Hoja1!C22</f>
        <v>6192</v>
      </c>
      <c r="C7">
        <f>Hoja1!B22*Hoja1!D22</f>
        <v>2400</v>
      </c>
      <c r="D7">
        <f>Hoja1!B22*Hoja1!D22</f>
        <v>2400</v>
      </c>
    </row>
    <row r="8" spans="1:4" x14ac:dyDescent="0.2">
      <c r="A8">
        <f>Hoja1!B23*Hoja1!C23</f>
        <v>5824</v>
      </c>
      <c r="B8">
        <f>Hoja1!B23*Hoja1!C23</f>
        <v>5824</v>
      </c>
      <c r="C8">
        <f>Hoja1!B23*Hoja1!D23</f>
        <v>2400</v>
      </c>
      <c r="D8">
        <f>Hoja1!B23*Hoja1!D23</f>
        <v>2400</v>
      </c>
    </row>
    <row r="9" spans="1:4" x14ac:dyDescent="0.2">
      <c r="A9">
        <f>Hoja1!B24*Hoja1!C24</f>
        <v>2224</v>
      </c>
      <c r="B9">
        <f>Hoja1!B24*Hoja1!C24</f>
        <v>2224</v>
      </c>
      <c r="C9">
        <f>Hoja1!B24*Hoja1!D24</f>
        <v>864</v>
      </c>
      <c r="D9">
        <f>Hoja1!B24*Hoja1!D24</f>
        <v>864</v>
      </c>
    </row>
    <row r="10" spans="1:4" x14ac:dyDescent="0.2">
      <c r="A10">
        <f>Hoja1!B25*Hoja1!C25</f>
        <v>2152</v>
      </c>
      <c r="B10">
        <f>Hoja1!B25*Hoja1!C25</f>
        <v>2152</v>
      </c>
      <c r="C10">
        <f>Hoja1!B25*Hoja1!D25</f>
        <v>864</v>
      </c>
      <c r="D10">
        <f>Hoja1!B25*Hoja1!D25</f>
        <v>864</v>
      </c>
    </row>
    <row r="11" spans="1:4" x14ac:dyDescent="0.2">
      <c r="A11">
        <f>Hoja1!B26*Hoja1!C26</f>
        <v>4448</v>
      </c>
      <c r="B11">
        <f>Hoja1!B26*Hoja1!C26</f>
        <v>4448</v>
      </c>
      <c r="C11">
        <f>Hoja1!B26*Hoja1!D26</f>
        <v>1800</v>
      </c>
      <c r="D11">
        <f>Hoja1!B26*Hoja1!D26</f>
        <v>1800</v>
      </c>
    </row>
    <row r="12" spans="1:4" x14ac:dyDescent="0.2">
      <c r="A12">
        <f>Hoja1!B27*Hoja1!C27</f>
        <v>7856</v>
      </c>
      <c r="B12">
        <f>Hoja1!B27*Hoja1!C27</f>
        <v>7856</v>
      </c>
      <c r="C12">
        <f>Hoja1!B27*Hoja1!D27</f>
        <v>400</v>
      </c>
      <c r="D12">
        <f>Hoja1!B27*Hoja1!D27</f>
        <v>400</v>
      </c>
    </row>
    <row r="13" spans="1:4" x14ac:dyDescent="0.2">
      <c r="A13">
        <f>Hoja1!B28*Hoja1!C28</f>
        <v>2220</v>
      </c>
      <c r="B13">
        <f>Hoja1!B28*Hoja1!C28</f>
        <v>2220</v>
      </c>
      <c r="C13">
        <f>Hoja1!B28*Hoja1!D28</f>
        <v>864</v>
      </c>
      <c r="D13">
        <f>Hoja1!B28*Hoja1!D28</f>
        <v>864</v>
      </c>
    </row>
    <row r="14" spans="1:4" x14ac:dyDescent="0.2">
      <c r="A14">
        <f>Hoja1!B29*Hoja1!C29</f>
        <v>2148</v>
      </c>
      <c r="B14">
        <f>Hoja1!B29*Hoja1!C29</f>
        <v>2148</v>
      </c>
      <c r="C14">
        <f>Hoja1!B29*Hoja1!D29</f>
        <v>864</v>
      </c>
      <c r="D14">
        <f>Hoja1!B29*Hoja1!D29</f>
        <v>864</v>
      </c>
    </row>
    <row r="15" spans="1:4" x14ac:dyDescent="0.2">
      <c r="A15">
        <f>Hoja1!B30*Hoja1!C30</f>
        <v>4440</v>
      </c>
      <c r="B15">
        <f>Hoja1!B30*Hoja1!C30</f>
        <v>4440</v>
      </c>
      <c r="C15">
        <f>Hoja1!B30*Hoja1!D30</f>
        <v>1800</v>
      </c>
      <c r="D15">
        <f>Hoja1!B30*Hoja1!D30</f>
        <v>1800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2025-06-18T00:14:03Z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