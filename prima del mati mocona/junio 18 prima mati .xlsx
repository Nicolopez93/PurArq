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rima del mati mocona\"/>
    </mc:Choice>
  </mc:AlternateContent>
  <xr:revisionPtr revIDLastSave="0" documentId="8_{DEDDDCCE-1207-49C8-99B4-A11AAACCDD6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<sst xmlns="http://schemas.openxmlformats.org/spreadsheetml/2006/main" count="58" uniqueCount="37">
  <si>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</si>
  <si>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</si>
  <si>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</si>
  <si>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</si>
  <si>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</si>
  <si>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</si>
  <si>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</si>
  <si>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</si>
  <si>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</si>
  <si>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</si>
  <si>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</si>
  <si>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</si>
  <si>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</si>
  <si>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</si>
  <si>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</si>
  <si>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</si>
  <si>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</si>
  <si>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</si>
  <si>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</si>
  <si>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</si>
  <si>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</si>
  <si>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</si>
  <si>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</si>
  <si>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</si>
  <si>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</si>
  <si>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</si>
  <si>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</si>
  <si>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</si>
  <si>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</si>
  <si>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fina</t>
  </si>
  <si>
    <t>lateral</t>
  </si>
  <si>
    <t>estante</t>
  </si>
  <si>
    <t>soporte</t>
  </si>
  <si>
    <t>base</t>
  </si>
  <si>
    <t>puertas</t>
  </si>
  <si>
    <t>puerta cajon</t>
  </si>
  <si>
    <t>lat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</si>
</sst>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C18" sqref="C1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216.315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30.334500000000002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952</v>
      </c>
      <c r="D16" s="24">
        <v>560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6.048</v>
      </c>
      <c r="Q16">
        <v>1</v>
      </c>
      <c r="R16" s="34">
        <f>((SUMIF(G16:G1016,D3,Hoja3!A1:A1001)+SUMIF(H16:H1016,D3,Hoja3!B1:B1001)+SUMIF(I16:I1016,D3,Hoja3!C1:C1001)+SUMIF(J16:J1016,D3,Hoja3!D1:D1001))/1000)*1.05</f>
        <v>30.334500000000002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824</v>
      </c>
      <c r="D17" s="24">
        <v>540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6.5919999999999996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548</v>
      </c>
      <c r="D18" s="24">
        <v>540</v>
      </c>
      <c r="E18" s="25" t="s">
        <v>31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0.54800000000000004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548</v>
      </c>
      <c r="D19" s="24">
        <v>120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1.0960000000000001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584</v>
      </c>
      <c r="D20" s="24">
        <v>540</v>
      </c>
      <c r="E20" s="25" t="s">
        <v>33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1.1679999999999999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838</v>
      </c>
      <c r="D21" s="24">
        <v>288</v>
      </c>
      <c r="E21" s="25" t="s">
        <v>34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4.5039999999999996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368</v>
      </c>
      <c r="D22" s="24">
        <v>540</v>
      </c>
      <c r="E22" s="25" t="s">
        <v>33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0.73599999999999999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464</v>
      </c>
      <c r="D23" s="24">
        <v>500</v>
      </c>
      <c r="E23" s="25" t="s">
        <v>36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1.8560000000000001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305</v>
      </c>
      <c r="D24" s="24">
        <v>500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2.61</v>
      </c>
      <c r="R24" s="38">
        <f>SUM(R16:R23)</f>
        <v>30.334500000000002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838</v>
      </c>
      <c r="D25" s="24">
        <v>364</v>
      </c>
      <c r="E25" s="25" t="s">
        <v>35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2.4039999999999999</v>
      </c>
    </row>
    <row r="26" spans="1:19" x14ac:dyDescent="0.2">
      <c r="A26" s="21" t="s">
        <v>26</v>
      </c>
      <c r="B26" s="22">
        <v>2</v>
      </c>
      <c r="C26" s="23">
        <v>332</v>
      </c>
      <c r="D26" s="24">
        <v>120</v>
      </c>
      <c r="E26" s="25" t="s">
        <v>32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1.3280000000000001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1904</v>
      </c>
      <c r="B1">
        <f>Hoja1!B16*Hoja1!C16</f>
        <v>1904</v>
      </c>
      <c r="C1">
        <f>Hoja1!B16*Hoja1!D16</f>
        <v>1120</v>
      </c>
      <c r="D1">
        <f>Hoja1!B16*Hoja1!D16</f>
        <v>1120</v>
      </c>
    </row>
    <row r="2" spans="1:4" x14ac:dyDescent="0.2">
      <c r="A2">
        <f>Hoja1!B17*Hoja1!C17</f>
        <v>3296</v>
      </c>
      <c r="B2">
        <f>Hoja1!B17*Hoja1!C17</f>
        <v>3296</v>
      </c>
      <c r="C2">
        <f>Hoja1!B17*Hoja1!D17</f>
        <v>2160</v>
      </c>
      <c r="D2">
        <f>Hoja1!B17*Hoja1!D17</f>
        <v>2160</v>
      </c>
    </row>
    <row r="3" spans="1:4" x14ac:dyDescent="0.2">
      <c r="A3">
        <f>Hoja1!B18*Hoja1!C18</f>
        <v>548</v>
      </c>
      <c r="B3">
        <f>Hoja1!B18*Hoja1!C18</f>
        <v>548</v>
      </c>
      <c r="C3">
        <f>Hoja1!B18*Hoja1!D18</f>
        <v>540</v>
      </c>
      <c r="D3">
        <f>Hoja1!B18*Hoja1!D18</f>
        <v>540</v>
      </c>
    </row>
    <row r="4" spans="1:4" x14ac:dyDescent="0.2">
      <c r="A4">
        <f>Hoja1!B19*Hoja1!C19</f>
        <v>1096</v>
      </c>
      <c r="B4">
        <f>Hoja1!B19*Hoja1!C19</f>
        <v>1096</v>
      </c>
      <c r="C4">
        <f>Hoja1!B19*Hoja1!D19</f>
        <v>240</v>
      </c>
      <c r="D4">
        <f>Hoja1!B19*Hoja1!D19</f>
        <v>240</v>
      </c>
    </row>
    <row r="5" spans="1:4" x14ac:dyDescent="0.2">
      <c r="A5">
        <f>Hoja1!B20*Hoja1!C20</f>
        <v>584</v>
      </c>
      <c r="B5">
        <f>Hoja1!B20*Hoja1!C20</f>
        <v>584</v>
      </c>
      <c r="C5">
        <f>Hoja1!B20*Hoja1!D20</f>
        <v>540</v>
      </c>
      <c r="D5">
        <f>Hoja1!B20*Hoja1!D20</f>
        <v>540</v>
      </c>
    </row>
    <row r="6" spans="1:4" x14ac:dyDescent="0.2">
      <c r="A6">
        <f>Hoja1!B21*Hoja1!C21</f>
        <v>1676</v>
      </c>
      <c r="B6">
        <f>Hoja1!B21*Hoja1!C21</f>
        <v>1676</v>
      </c>
      <c r="C6">
        <f>Hoja1!B21*Hoja1!D21</f>
        <v>576</v>
      </c>
      <c r="D6">
        <f>Hoja1!B21*Hoja1!D21</f>
        <v>576</v>
      </c>
    </row>
    <row r="7" spans="1:4" x14ac:dyDescent="0.2">
      <c r="A7">
        <f>Hoja1!B22*Hoja1!C22</f>
        <v>368</v>
      </c>
      <c r="B7">
        <f>Hoja1!B22*Hoja1!C22</f>
        <v>368</v>
      </c>
      <c r="C7">
        <f>Hoja1!B22*Hoja1!D22</f>
        <v>540</v>
      </c>
      <c r="D7">
        <f>Hoja1!B22*Hoja1!D22</f>
        <v>540</v>
      </c>
    </row>
    <row r="8" spans="1:4" x14ac:dyDescent="0.2">
      <c r="A8">
        <f>Hoja1!B23*Hoja1!C23</f>
        <v>928</v>
      </c>
      <c r="B8">
        <f>Hoja1!B23*Hoja1!C23</f>
        <v>928</v>
      </c>
      <c r="C8">
        <f>Hoja1!B23*Hoja1!D23</f>
        <v>1000</v>
      </c>
      <c r="D8">
        <f>Hoja1!B23*Hoja1!D23</f>
        <v>1000</v>
      </c>
    </row>
    <row r="9" spans="1:4" x14ac:dyDescent="0.2">
      <c r="A9">
        <f>Hoja1!B24*Hoja1!C24</f>
        <v>610</v>
      </c>
      <c r="B9">
        <f>Hoja1!B24*Hoja1!C24</f>
        <v>610</v>
      </c>
      <c r="C9">
        <f>Hoja1!B24*Hoja1!D24</f>
        <v>1000</v>
      </c>
      <c r="D9">
        <f>Hoja1!B24*Hoja1!D24</f>
        <v>1000</v>
      </c>
    </row>
    <row r="10" spans="1:4" x14ac:dyDescent="0.2">
      <c r="A10">
        <f>Hoja1!B25*Hoja1!C25</f>
        <v>838</v>
      </c>
      <c r="B10">
        <f>Hoja1!B25*Hoja1!C25</f>
        <v>838</v>
      </c>
      <c r="C10">
        <f>Hoja1!B25*Hoja1!D25</f>
        <v>364</v>
      </c>
      <c r="D10">
        <f>Hoja1!B25*Hoja1!D25</f>
        <v>364</v>
      </c>
    </row>
    <row r="11" spans="1:4" x14ac:dyDescent="0.2">
      <c r="A11">
        <f>Hoja1!B26*Hoja1!C26</f>
        <v>664</v>
      </c>
      <c r="B11">
        <f>Hoja1!B26*Hoja1!C26</f>
        <v>664</v>
      </c>
      <c r="C11">
        <f>Hoja1!B26*Hoja1!D26</f>
        <v>240</v>
      </c>
      <c r="D11">
        <f>Hoja1!B26*Hoja1!D26</f>
        <v>240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2025-06-17T23:23:22Z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