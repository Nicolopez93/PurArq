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bruno conocido palta\"/>
    </mc:Choice>
  </mc:AlternateContent>
  <xr:revisionPtr revIDLastSave="0" documentId="13_ncr:1_{CF001C63-AF47-49B5-9374-2FC2E43009A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<sst xmlns="http://schemas.openxmlformats.org/spreadsheetml/2006/main" count="53" uniqueCount="44">
  <si>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</si>
  <si>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</si>
  <si>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</si>
  <si>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</si>
  <si>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</si>
  <si>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</si>
  <si>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</si>
  <si>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</si>
  <si>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</si>
  <si>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</si>
  <si>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</si>
  <si>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</si>
  <si>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</si>
  <si>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</si>
  <si>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</si>
  <si>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</si>
  <si>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</si>
  <si>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</si>
  <si>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</si>
  <si>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</si>
  <si>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</si>
  <si>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</si>
  <si>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</si>
  <si>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</si>
  <si>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</si>
  <si>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</si>
  <si>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</si>
  <si>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roble kendal encerado</t>
  </si>
  <si>
    <t>9117152</t>
  </si>
  <si>
    <t>045 blanco</t>
  </si>
  <si>
    <t>lat alace1</t>
  </si>
  <si>
    <t>base alace1</t>
  </si>
  <si>
    <t>estante 1</t>
  </si>
  <si>
    <t>base alace2y3</t>
  </si>
  <si>
    <t>lat alacena 2y3</t>
  </si>
  <si>
    <t>base alace 4</t>
  </si>
  <si>
    <t>puerta 1</t>
  </si>
  <si>
    <t>puerta 23</t>
  </si>
  <si>
    <t>puerta4</t>
  </si>
  <si>
    <t>puerta abajo</t>
  </si>
  <si>
    <t>tapa cajon</t>
  </si>
  <si>
    <t xml:space="preserve">base </t>
  </si>
  <si>
    <t xml:space="preserve">lat </t>
  </si>
  <si>
    <t>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</si>
</sst>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2"/>
      <color rgb="FF4B4B4B"/>
      <name val="Roboto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49" fontId="22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E7" sqref="E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5" t="s">
        <v>0</v>
      </c>
      <c r="B1" s="45"/>
      <c r="C1" s="45"/>
      <c r="D1" s="45"/>
      <c r="E1" s="2"/>
      <c r="F1" s="45" t="s">
        <v>1</v>
      </c>
      <c r="G1" s="45"/>
      <c r="H1" s="45"/>
      <c r="I1" s="45"/>
      <c r="J1" s="45"/>
      <c r="K1" s="45"/>
      <c r="L1" s="45"/>
      <c r="O1" s="1"/>
      <c r="P1" s="1"/>
    </row>
    <row r="2" spans="1:20" ht="17.25" customHeight="1" x14ac:dyDescent="0.2">
      <c r="A2" s="46" t="s">
        <v>2</v>
      </c>
      <c r="B2" s="46"/>
      <c r="C2" s="46"/>
      <c r="D2" s="3" t="s">
        <v>3</v>
      </c>
      <c r="E2" s="4"/>
      <c r="F2" s="47" t="s">
        <v>4</v>
      </c>
      <c r="G2" s="47"/>
      <c r="H2" s="47"/>
      <c r="I2" s="47"/>
      <c r="J2" s="47"/>
      <c r="K2" s="47"/>
      <c r="L2" s="3" t="s">
        <v>5</v>
      </c>
      <c r="M2"/>
      <c r="O2" s="1"/>
      <c r="P2" s="1"/>
      <c r="Q2" s="1"/>
    </row>
    <row r="3" spans="1:20" ht="14.1" customHeight="1" x14ac:dyDescent="0.25">
      <c r="A3" s="48" t="s">
        <v>29</v>
      </c>
      <c r="B3" s="48"/>
      <c r="C3" s="48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379.55700000000002</v>
      </c>
      <c r="F3" s="49">
        <v>9134618</v>
      </c>
      <c r="G3" s="49"/>
      <c r="H3" s="49"/>
      <c r="I3" s="49"/>
      <c r="J3" s="49"/>
      <c r="K3" s="49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8" t="s">
        <v>27</v>
      </c>
      <c r="B4" s="48"/>
      <c r="C4" s="48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9.0879999999999992</v>
      </c>
      <c r="F4" s="50">
        <v>9117152</v>
      </c>
      <c r="G4" s="50"/>
      <c r="H4" s="50"/>
      <c r="I4" s="50"/>
      <c r="J4" s="50"/>
      <c r="K4" s="50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8"/>
      <c r="B5" s="48"/>
      <c r="C5" s="48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50"/>
      <c r="G5" s="50"/>
      <c r="H5" s="50"/>
      <c r="I5" s="50"/>
      <c r="J5" s="50"/>
      <c r="K5" s="50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8"/>
      <c r="B6" s="48"/>
      <c r="C6" s="48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50"/>
      <c r="G6" s="50"/>
      <c r="H6" s="50"/>
      <c r="I6" s="50"/>
      <c r="J6" s="50"/>
      <c r="K6" s="50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8"/>
      <c r="B7" s="48"/>
      <c r="C7" s="48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50"/>
      <c r="G7" s="50"/>
      <c r="H7" s="50"/>
      <c r="I7" s="50"/>
      <c r="J7" s="50"/>
      <c r="K7" s="50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8"/>
      <c r="B8" s="48"/>
      <c r="C8" s="48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50"/>
      <c r="G8" s="50"/>
      <c r="H8" s="50"/>
      <c r="I8" s="50"/>
      <c r="J8" s="50"/>
      <c r="K8" s="50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8"/>
      <c r="B9" s="48"/>
      <c r="C9" s="48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50"/>
      <c r="G9" s="50"/>
      <c r="H9" s="50"/>
      <c r="I9" s="50"/>
      <c r="J9" s="50"/>
      <c r="K9" s="50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8"/>
      <c r="B10" s="48"/>
      <c r="C10" s="48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50"/>
      <c r="G10" s="50"/>
      <c r="H10" s="50"/>
      <c r="I10" s="50"/>
      <c r="J10" s="50"/>
      <c r="K10" s="50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1" t="s">
        <v>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20" ht="27.75" x14ac:dyDescent="0.2">
      <c r="A12" s="45" t="s">
        <v>7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11"/>
      <c r="N12" s="11"/>
    </row>
    <row r="13" spans="1:20" ht="41.1" customHeight="1" x14ac:dyDescent="0.2">
      <c r="A13" s="52" t="s">
        <v>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2"/>
      <c r="N13" s="11"/>
    </row>
    <row r="14" spans="1:20" ht="15" x14ac:dyDescent="0.25">
      <c r="A14" s="53" t="s">
        <v>9</v>
      </c>
      <c r="B14" s="53" t="s">
        <v>10</v>
      </c>
      <c r="C14" s="53" t="s">
        <v>11</v>
      </c>
      <c r="D14" s="53" t="s">
        <v>12</v>
      </c>
      <c r="E14" s="53" t="s">
        <v>13</v>
      </c>
      <c r="F14" s="5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3"/>
      <c r="B15" s="53"/>
      <c r="C15" s="53"/>
      <c r="D15" s="53"/>
      <c r="E15" s="53"/>
      <c r="F15" s="5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45.045000000000009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880</v>
      </c>
      <c r="D16" s="24">
        <v>300</v>
      </c>
      <c r="E16" s="25" t="s">
        <v>31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3.52</v>
      </c>
      <c r="Q16">
        <v>1</v>
      </c>
      <c r="R16" s="34">
        <f>((SUMIF(G16:G1016,D3,Hoja3!A1:A1001)+SUMIF(H16:H1016,D3,Hoja3!B1:B1001)+SUMIF(I16:I1016,D3,Hoja3!C1:C1001)+SUMIF(J16:J1016,D3,Hoja3!D1:D1001))/1000)*1.05</f>
        <v>40.038600000000002</v>
      </c>
      <c r="S16" s="35" t="str">
        <f t="shared" ref="S16:S23" si="1">A3</f>
        <v>045 blanco</v>
      </c>
    </row>
    <row r="17" spans="1:19" ht="15.75" x14ac:dyDescent="0.25">
      <c r="A17" s="21">
        <v>9117152</v>
      </c>
      <c r="B17" s="22">
        <v>2</v>
      </c>
      <c r="C17" s="23">
        <v>704</v>
      </c>
      <c r="D17" s="24">
        <v>300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2.8159999999999998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5.0064000000000002</v>
      </c>
      <c r="S17" s="35" t="str">
        <f t="shared" si="1"/>
        <v>045 roble kendal encerado</v>
      </c>
    </row>
    <row r="18" spans="1:19" ht="15.75" x14ac:dyDescent="0.25">
      <c r="A18" s="44">
        <v>9117152</v>
      </c>
      <c r="B18" s="22">
        <v>1</v>
      </c>
      <c r="C18" s="23">
        <v>844</v>
      </c>
      <c r="D18" s="24">
        <v>300</v>
      </c>
      <c r="E18" s="25" t="s">
        <v>32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1.6879999999999999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9117152</v>
      </c>
      <c r="B19" s="22">
        <v>4</v>
      </c>
      <c r="C19" s="23">
        <v>540</v>
      </c>
      <c r="D19" s="24">
        <v>300</v>
      </c>
      <c r="E19" s="25" t="s">
        <v>33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4.32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9117152</v>
      </c>
      <c r="B20" s="22">
        <v>6</v>
      </c>
      <c r="C20" s="23">
        <v>316</v>
      </c>
      <c r="D20" s="24">
        <v>300</v>
      </c>
      <c r="E20" s="25" t="s">
        <v>34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3.7919999999999998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9117152</v>
      </c>
      <c r="B21" s="22">
        <v>2</v>
      </c>
      <c r="C21" s="23">
        <v>770</v>
      </c>
      <c r="D21" s="24">
        <v>300</v>
      </c>
      <c r="E21" s="25" t="s">
        <v>35</v>
      </c>
      <c r="F21" s="25"/>
      <c r="G21" s="37">
        <v>1</v>
      </c>
      <c r="H21" s="37"/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1" s="33">
        <f t="shared" si="0"/>
        <v>2.74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 t="s">
        <v>28</v>
      </c>
      <c r="B22" s="22">
        <v>2</v>
      </c>
      <c r="C22" s="23">
        <v>736</v>
      </c>
      <c r="D22" s="24">
        <v>436</v>
      </c>
      <c r="E22" s="25" t="s">
        <v>36</v>
      </c>
      <c r="F22" s="25"/>
      <c r="G22" s="37">
        <v>1</v>
      </c>
      <c r="H22" s="37">
        <v>1</v>
      </c>
      <c r="I22" s="37">
        <v>1</v>
      </c>
      <c r="J22" s="37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2" s="33">
        <f t="shared" si="0"/>
        <v>4.6879999999999997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4">
        <v>9117152</v>
      </c>
      <c r="B23" s="22">
        <v>2</v>
      </c>
      <c r="C23" s="23">
        <v>536</v>
      </c>
      <c r="D23" s="24">
        <v>348</v>
      </c>
      <c r="E23" s="25" t="s">
        <v>37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3" s="33">
        <f t="shared" si="0"/>
        <v>3.536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4">
        <v>9117152</v>
      </c>
      <c r="B24" s="22">
        <v>1</v>
      </c>
      <c r="C24" s="23">
        <v>766</v>
      </c>
      <c r="D24" s="24">
        <v>348</v>
      </c>
      <c r="E24" s="25" t="s">
        <v>38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4" s="33">
        <f t="shared" si="0"/>
        <v>2.2280000000000002</v>
      </c>
      <c r="R24" s="38">
        <f>SUM(R16:R23)</f>
        <v>45.045000000000002</v>
      </c>
      <c r="S24" s="39" t="s">
        <v>26</v>
      </c>
    </row>
    <row r="25" spans="1:19" ht="15.75" x14ac:dyDescent="0.25">
      <c r="A25" s="44">
        <v>9117152</v>
      </c>
      <c r="B25" s="22">
        <v>2</v>
      </c>
      <c r="C25" s="23">
        <v>180</v>
      </c>
      <c r="D25" s="24">
        <v>460</v>
      </c>
      <c r="E25" s="25" t="s">
        <v>40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5" s="33">
        <f t="shared" si="0"/>
        <v>2.56</v>
      </c>
    </row>
    <row r="26" spans="1:19" ht="15.75" x14ac:dyDescent="0.25">
      <c r="A26" s="44">
        <v>9117152</v>
      </c>
      <c r="B26" s="22">
        <v>1</v>
      </c>
      <c r="C26" s="23">
        <v>352</v>
      </c>
      <c r="D26" s="24">
        <v>460</v>
      </c>
      <c r="E26" s="25" t="s">
        <v>40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6" s="33">
        <f t="shared" si="0"/>
        <v>1.6240000000000001</v>
      </c>
    </row>
    <row r="27" spans="1:19" ht="15.75" x14ac:dyDescent="0.25">
      <c r="A27" s="44">
        <v>9117152</v>
      </c>
      <c r="B27" s="22">
        <v>2</v>
      </c>
      <c r="C27" s="23">
        <v>435</v>
      </c>
      <c r="D27" s="24">
        <v>720</v>
      </c>
      <c r="E27" s="25" t="s">
        <v>39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27" s="33">
        <f t="shared" si="0"/>
        <v>4.62</v>
      </c>
    </row>
    <row r="28" spans="1:19" ht="15.75" x14ac:dyDescent="0.25">
      <c r="A28" s="44">
        <v>9134618</v>
      </c>
      <c r="B28" s="22">
        <v>2</v>
      </c>
      <c r="C28" s="23">
        <v>1080</v>
      </c>
      <c r="D28" s="24">
        <v>300</v>
      </c>
      <c r="E28" s="25" t="s">
        <v>41</v>
      </c>
      <c r="F28" s="25"/>
      <c r="G28" s="37">
        <v>2</v>
      </c>
      <c r="H28" s="37"/>
      <c r="I28" s="37">
        <v>2</v>
      </c>
      <c r="J28" s="37">
        <v>2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kendal encerado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kendal encerado</v>
      </c>
      <c r="O28" s="33">
        <f t="shared" si="0"/>
        <v>3.36</v>
      </c>
    </row>
    <row r="29" spans="1:19" ht="15.75" x14ac:dyDescent="0.25">
      <c r="A29" s="44">
        <v>9134618</v>
      </c>
      <c r="B29" s="22">
        <v>2</v>
      </c>
      <c r="C29" s="23">
        <v>352</v>
      </c>
      <c r="D29" s="24">
        <v>300</v>
      </c>
      <c r="E29" s="25" t="s">
        <v>42</v>
      </c>
      <c r="F29" s="25"/>
      <c r="G29" s="37">
        <v>2</v>
      </c>
      <c r="H29" s="37">
        <v>2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kendal encerado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kendal encerado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1.4079999999999999</v>
      </c>
    </row>
    <row r="30" spans="1:19" x14ac:dyDescent="0.2">
      <c r="A30" s="21">
        <v>9134618</v>
      </c>
      <c r="B30" s="22">
        <v>1</v>
      </c>
      <c r="C30" s="23">
        <v>1044</v>
      </c>
      <c r="D30" s="24">
        <v>352</v>
      </c>
      <c r="E30" s="25" t="s">
        <v>43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30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1760</v>
      </c>
      <c r="B1">
        <f>Hoja1!B16*Hoja1!C16</f>
        <v>1760</v>
      </c>
      <c r="C1">
        <f>Hoja1!B16*Hoja1!D16</f>
        <v>600</v>
      </c>
      <c r="D1">
        <f>Hoja1!B16*Hoja1!D16</f>
        <v>600</v>
      </c>
    </row>
    <row r="2" spans="1:4" x14ac:dyDescent="0.2">
      <c r="A2">
        <f>Hoja1!B17*Hoja1!C17</f>
        <v>1408</v>
      </c>
      <c r="B2">
        <f>Hoja1!B17*Hoja1!C17</f>
        <v>1408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844</v>
      </c>
      <c r="B3">
        <f>Hoja1!B18*Hoja1!C18</f>
        <v>844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2160</v>
      </c>
      <c r="B4">
        <f>Hoja1!B19*Hoja1!C19</f>
        <v>2160</v>
      </c>
      <c r="C4">
        <f>Hoja1!B19*Hoja1!D19</f>
        <v>1200</v>
      </c>
      <c r="D4">
        <f>Hoja1!B19*Hoja1!D19</f>
        <v>1200</v>
      </c>
    </row>
    <row r="5" spans="1:4" x14ac:dyDescent="0.2">
      <c r="A5">
        <f>Hoja1!B20*Hoja1!C20</f>
        <v>1896</v>
      </c>
      <c r="B5">
        <f>Hoja1!B20*Hoja1!C20</f>
        <v>1896</v>
      </c>
      <c r="C5">
        <f>Hoja1!B20*Hoja1!D20</f>
        <v>1800</v>
      </c>
      <c r="D5">
        <f>Hoja1!B20*Hoja1!D20</f>
        <v>1800</v>
      </c>
    </row>
    <row r="6" spans="1:4" x14ac:dyDescent="0.2">
      <c r="A6">
        <f>Hoja1!B21*Hoja1!C21</f>
        <v>1540</v>
      </c>
      <c r="B6">
        <f>Hoja1!B21*Hoja1!C21</f>
        <v>1540</v>
      </c>
      <c r="C6">
        <f>Hoja1!B21*Hoja1!D21</f>
        <v>600</v>
      </c>
      <c r="D6">
        <f>Hoja1!B21*Hoja1!D21</f>
        <v>600</v>
      </c>
    </row>
    <row r="7" spans="1:4" x14ac:dyDescent="0.2">
      <c r="A7">
        <f>Hoja1!B22*Hoja1!C22</f>
        <v>1472</v>
      </c>
      <c r="B7">
        <f>Hoja1!B22*Hoja1!C22</f>
        <v>1472</v>
      </c>
      <c r="C7">
        <f>Hoja1!B22*Hoja1!D22</f>
        <v>872</v>
      </c>
      <c r="D7">
        <f>Hoja1!B22*Hoja1!D22</f>
        <v>872</v>
      </c>
    </row>
    <row r="8" spans="1:4" x14ac:dyDescent="0.2">
      <c r="A8">
        <f>Hoja1!B23*Hoja1!C23</f>
        <v>1072</v>
      </c>
      <c r="B8">
        <f>Hoja1!B23*Hoja1!C23</f>
        <v>1072</v>
      </c>
      <c r="C8">
        <f>Hoja1!B23*Hoja1!D23</f>
        <v>696</v>
      </c>
      <c r="D8">
        <f>Hoja1!B23*Hoja1!D23</f>
        <v>696</v>
      </c>
    </row>
    <row r="9" spans="1:4" x14ac:dyDescent="0.2">
      <c r="A9">
        <f>Hoja1!B24*Hoja1!C24</f>
        <v>766</v>
      </c>
      <c r="B9">
        <f>Hoja1!B24*Hoja1!C24</f>
        <v>766</v>
      </c>
      <c r="C9">
        <f>Hoja1!B24*Hoja1!D24</f>
        <v>348</v>
      </c>
      <c r="D9">
        <f>Hoja1!B24*Hoja1!D24</f>
        <v>348</v>
      </c>
    </row>
    <row r="10" spans="1:4" x14ac:dyDescent="0.2">
      <c r="A10">
        <f>Hoja1!B25*Hoja1!C25</f>
        <v>360</v>
      </c>
      <c r="B10">
        <f>Hoja1!B25*Hoja1!C25</f>
        <v>360</v>
      </c>
      <c r="C10">
        <f>Hoja1!B25*Hoja1!D25</f>
        <v>920</v>
      </c>
      <c r="D10">
        <f>Hoja1!B25*Hoja1!D25</f>
        <v>920</v>
      </c>
    </row>
    <row r="11" spans="1:4" x14ac:dyDescent="0.2">
      <c r="A11">
        <f>Hoja1!B26*Hoja1!C26</f>
        <v>352</v>
      </c>
      <c r="B11">
        <f>Hoja1!B26*Hoja1!C26</f>
        <v>352</v>
      </c>
      <c r="C11">
        <f>Hoja1!B26*Hoja1!D26</f>
        <v>460</v>
      </c>
      <c r="D11">
        <f>Hoja1!B26*Hoja1!D26</f>
        <v>460</v>
      </c>
    </row>
    <row r="12" spans="1:4" x14ac:dyDescent="0.2">
      <c r="A12">
        <f>Hoja1!B27*Hoja1!C27</f>
        <v>870</v>
      </c>
      <c r="B12">
        <f>Hoja1!B27*Hoja1!C27</f>
        <v>870</v>
      </c>
      <c r="C12">
        <f>Hoja1!B27*Hoja1!D27</f>
        <v>1440</v>
      </c>
      <c r="D12">
        <f>Hoja1!B27*Hoja1!D27</f>
        <v>1440</v>
      </c>
    </row>
    <row r="13" spans="1:4" x14ac:dyDescent="0.2">
      <c r="A13">
        <f>Hoja1!B28*Hoja1!C28</f>
        <v>2160</v>
      </c>
      <c r="B13">
        <f>Hoja1!B28*Hoja1!C28</f>
        <v>2160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704</v>
      </c>
      <c r="B14">
        <f>Hoja1!B29*Hoja1!C29</f>
        <v>704</v>
      </c>
      <c r="C14">
        <f>Hoja1!B29*Hoja1!D29</f>
        <v>600</v>
      </c>
      <c r="D14">
        <f>Hoja1!B29*Hoja1!D29</f>
        <v>600</v>
      </c>
    </row>
    <row r="15" spans="1:4" x14ac:dyDescent="0.2">
      <c r="A15">
        <f>Hoja1!B30*Hoja1!C30</f>
        <v>1044</v>
      </c>
      <c r="B15">
        <f>Hoja1!B30*Hoja1!C30</f>
        <v>1044</v>
      </c>
      <c r="C15">
        <f>Hoja1!B30*Hoja1!D30</f>
        <v>352</v>
      </c>
      <c r="D15">
        <f>Hoja1!B30*Hoja1!D30</f>
        <v>352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2025-08-28T13:58:43Z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