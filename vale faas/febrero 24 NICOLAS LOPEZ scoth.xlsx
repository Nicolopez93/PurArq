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vale faas\"/>
    </mc:Choice>
  </mc:AlternateContent>
  <xr:revisionPtr revIDLastSave="0" documentId="13_ncr:1_{8DE654FC-274A-4E9A-886F-3A662FEC945A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<sst xmlns="http://schemas.openxmlformats.org/spreadsheetml/2006/main" count="42" uniqueCount="34">
  <si>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</si>
  <si>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</si>
  <si>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</si>
  <si>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</si>
  <si>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</si>
  <si>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</si>
  <si>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</si>
  <si>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</si>
  <si>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</si>
  <si>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</si>
  <si>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</si>
  <si>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</si>
  <si>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</si>
  <si>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</si>
  <si>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</si>
  <si>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</si>
  <si>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</si>
  <si>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</si>
  <si>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</si>
  <si>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</si>
  <si>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</si>
  <si>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</si>
  <si>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</si>
  <si>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</si>
  <si>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</si>
  <si>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</si>
  <si>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</si>
  <si>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 xml:space="preserve">base </t>
  </si>
  <si>
    <t>base medio</t>
  </si>
  <si>
    <t>lat abajo</t>
  </si>
  <si>
    <t>lat sup</t>
  </si>
  <si>
    <t>estante</t>
  </si>
  <si>
    <t>puerta</t>
  </si>
  <si>
    <t>040 SCOTCH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</si>
</sst>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C28" sqref="C2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33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350.08</v>
      </c>
      <c r="F3" s="47">
        <v>9134116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72.693600000000004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12</v>
      </c>
      <c r="C16" s="23">
        <v>1050</v>
      </c>
      <c r="D16" s="24">
        <v>380</v>
      </c>
      <c r="E16" s="25" t="s">
        <v>27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12.6</v>
      </c>
      <c r="Q16">
        <v>1</v>
      </c>
      <c r="R16" s="34">
        <f>((SUMIF(G16:G1016,D3,Hoja3!A1:A1001)+SUMIF(H16:H1016,D3,Hoja3!B1:B1001)+SUMIF(I16:I1016,D3,Hoja3!C1:C1001)+SUMIF(J16:J1016,D3,Hoja3!D1:D1001))/1000)*1.05</f>
        <v>72.693600000000004</v>
      </c>
      <c r="S16" s="35" t="str">
        <f t="shared" ref="S16:S23" si="1">A3</f>
        <v>040 SCOTCH</v>
      </c>
    </row>
    <row r="17" spans="1:19" ht="15.75" x14ac:dyDescent="0.25">
      <c r="A17" s="21">
        <v>9134116</v>
      </c>
      <c r="B17" s="22">
        <v>4</v>
      </c>
      <c r="C17" s="23">
        <v>1050</v>
      </c>
      <c r="D17" s="24">
        <v>400</v>
      </c>
      <c r="E17" s="25" t="s">
        <v>28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4.2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9134116</v>
      </c>
      <c r="B18" s="22">
        <v>8</v>
      </c>
      <c r="C18" s="23">
        <v>546</v>
      </c>
      <c r="D18" s="24">
        <v>380</v>
      </c>
      <c r="E18" s="25" t="s">
        <v>29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4.3680000000000003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9134116</v>
      </c>
      <c r="B19" s="22">
        <v>8</v>
      </c>
      <c r="C19" s="23">
        <v>1782</v>
      </c>
      <c r="D19" s="24">
        <v>380</v>
      </c>
      <c r="E19" s="25" t="s">
        <v>30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14.256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9134116</v>
      </c>
      <c r="B20" s="22">
        <v>16</v>
      </c>
      <c r="C20" s="23">
        <v>1014</v>
      </c>
      <c r="D20" s="24">
        <v>380</v>
      </c>
      <c r="E20" s="25" t="s">
        <v>31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16.224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9134116</v>
      </c>
      <c r="B21" s="22">
        <v>8</v>
      </c>
      <c r="C21" s="23">
        <v>578</v>
      </c>
      <c r="D21" s="24">
        <v>521</v>
      </c>
      <c r="E21" s="25" t="s">
        <v>32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21" s="33">
        <f t="shared" si="0"/>
        <v>17.584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72.693600000000004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12600</v>
      </c>
      <c r="B1">
        <f>Hoja1!B16*Hoja1!C16</f>
        <v>12600</v>
      </c>
      <c r="C1">
        <f>Hoja1!B16*Hoja1!D16</f>
        <v>4560</v>
      </c>
      <c r="D1">
        <f>Hoja1!B16*Hoja1!D16</f>
        <v>4560</v>
      </c>
    </row>
    <row r="2" spans="1:4" x14ac:dyDescent="0.2">
      <c r="A2">
        <f>Hoja1!B17*Hoja1!C17</f>
        <v>4200</v>
      </c>
      <c r="B2">
        <f>Hoja1!B17*Hoja1!C17</f>
        <v>4200</v>
      </c>
      <c r="C2">
        <f>Hoja1!B17*Hoja1!D17</f>
        <v>1600</v>
      </c>
      <c r="D2">
        <f>Hoja1!B17*Hoja1!D17</f>
        <v>1600</v>
      </c>
    </row>
    <row r="3" spans="1:4" x14ac:dyDescent="0.2">
      <c r="A3">
        <f>Hoja1!B18*Hoja1!C18</f>
        <v>4368</v>
      </c>
      <c r="B3">
        <f>Hoja1!B18*Hoja1!C18</f>
        <v>4368</v>
      </c>
      <c r="C3">
        <f>Hoja1!B18*Hoja1!D18</f>
        <v>3040</v>
      </c>
      <c r="D3">
        <f>Hoja1!B18*Hoja1!D18</f>
        <v>3040</v>
      </c>
    </row>
    <row r="4" spans="1:4" x14ac:dyDescent="0.2">
      <c r="A4">
        <f>Hoja1!B19*Hoja1!C19</f>
        <v>14256</v>
      </c>
      <c r="B4">
        <f>Hoja1!B19*Hoja1!C19</f>
        <v>14256</v>
      </c>
      <c r="C4">
        <f>Hoja1!B19*Hoja1!D19</f>
        <v>3040</v>
      </c>
      <c r="D4">
        <f>Hoja1!B19*Hoja1!D19</f>
        <v>3040</v>
      </c>
    </row>
    <row r="5" spans="1:4" x14ac:dyDescent="0.2">
      <c r="A5">
        <f>Hoja1!B20*Hoja1!C20</f>
        <v>16224</v>
      </c>
      <c r="B5">
        <f>Hoja1!B20*Hoja1!C20</f>
        <v>16224</v>
      </c>
      <c r="C5">
        <f>Hoja1!B20*Hoja1!D20</f>
        <v>6080</v>
      </c>
      <c r="D5">
        <f>Hoja1!B20*Hoja1!D20</f>
        <v>6080</v>
      </c>
    </row>
    <row r="6" spans="1:4" x14ac:dyDescent="0.2">
      <c r="A6">
        <f>Hoja1!B21*Hoja1!C21</f>
        <v>4624</v>
      </c>
      <c r="B6">
        <f>Hoja1!B21*Hoja1!C21</f>
        <v>4624</v>
      </c>
      <c r="C6">
        <f>Hoja1!B21*Hoja1!D21</f>
        <v>4168</v>
      </c>
      <c r="D6">
        <f>Hoja1!B21*Hoja1!D21</f>
        <v>4168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2025-02-24T03:14:40Z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