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sole depetris\"/>
    </mc:Choice>
  </mc:AlternateContent>
  <xr:revisionPtr revIDLastSave="0" documentId="13_ncr:1_{10049D3D-0CB1-462D-AC1F-D8AC0A2B5CC3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D5" i="1"/>
  <c r="E5" i="1" s="1"/>
  <c r="L4" i="1"/>
  <c r="D4" i="1"/>
  <c r="L3" i="1"/>
  <c r="D3" i="1"/>
  <c r="R18" i="1" l="1"/>
  <c r="L46" i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<sst xmlns="http://schemas.openxmlformats.org/spreadsheetml/2006/main" count="53" uniqueCount="36">
  <si>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</si>
  <si>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</si>
  <si>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</si>
  <si>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</si>
  <si>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</si>
  <si>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</si>
  <si>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</si>
  <si>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</si>
  <si>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</si>
  <si>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</si>
  <si>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</si>
  <si>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</si>
  <si>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</si>
  <si>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</si>
  <si>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</si>
  <si>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</si>
  <si>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</si>
  <si>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</si>
  <si>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</si>
  <si>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</si>
  <si>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</si>
  <si>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</si>
  <si>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</si>
  <si>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</si>
  <si>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</si>
  <si>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</si>
  <si>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 xml:space="preserve">   Cantidad total de canto en metros lineales + % de descarte</t>
  </si>
  <si>
    <t>lat cajon</t>
  </si>
  <si>
    <t>045 scotch</t>
  </si>
  <si>
    <t>045 Gris grafito</t>
  </si>
  <si>
    <t>base</t>
  </si>
  <si>
    <t xml:space="preserve">lat </t>
  </si>
  <si>
    <t>tapa cajon</t>
  </si>
  <si>
    <t>fondo</t>
  </si>
  <si>
    <t>abajo</t>
  </si>
  <si>
    <t>lat pared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</si>
</sst>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8" fillId="3" borderId="2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15" zoomScale="130" zoomScaleNormal="130" workbookViewId="0">
      <selection activeCell="A27" sqref="A27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3" t="s">
        <v>0</v>
      </c>
      <c r="B1" s="43"/>
      <c r="C1" s="43"/>
      <c r="D1" s="43"/>
      <c r="E1" s="2"/>
      <c r="F1" s="43" t="s">
        <v>1</v>
      </c>
      <c r="G1" s="43"/>
      <c r="H1" s="43"/>
      <c r="I1" s="43"/>
      <c r="J1" s="43"/>
      <c r="K1" s="43"/>
      <c r="L1" s="43"/>
      <c r="O1" s="1"/>
      <c r="P1" s="1"/>
    </row>
    <row r="2" spans="1:20" ht="17.25" customHeight="1" x14ac:dyDescent="0.2">
      <c r="A2" s="44" t="s">
        <v>2</v>
      </c>
      <c r="B2" s="44"/>
      <c r="C2" s="44"/>
      <c r="D2" s="3" t="s">
        <v>3</v>
      </c>
      <c r="E2" s="4"/>
      <c r="F2" s="45" t="s">
        <v>4</v>
      </c>
      <c r="G2" s="45"/>
      <c r="H2" s="45"/>
      <c r="I2" s="45"/>
      <c r="J2" s="45"/>
      <c r="K2" s="45"/>
      <c r="L2" s="3" t="s">
        <v>5</v>
      </c>
      <c r="M2"/>
      <c r="O2" s="1"/>
      <c r="P2" s="1"/>
      <c r="Q2" s="1"/>
    </row>
    <row r="3" spans="1:20" ht="14.1" customHeight="1" x14ac:dyDescent="0.25">
      <c r="A3" s="46" t="s">
        <v>29</v>
      </c>
      <c r="B3" s="46"/>
      <c r="C3" s="46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108.928</v>
      </c>
      <c r="F3" s="47">
        <v>9117179</v>
      </c>
      <c r="G3" s="47"/>
      <c r="H3" s="47"/>
      <c r="I3" s="47"/>
      <c r="J3" s="47"/>
      <c r="K3" s="47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6" t="s">
        <v>28</v>
      </c>
      <c r="B4" s="46"/>
      <c r="C4" s="46"/>
      <c r="D4" s="5">
        <f>IF(A4="",0,2)</f>
        <v>2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47.872</v>
      </c>
      <c r="F4" s="48">
        <v>9134116</v>
      </c>
      <c r="G4" s="48"/>
      <c r="H4" s="48"/>
      <c r="I4" s="48"/>
      <c r="J4" s="48"/>
      <c r="K4" s="48"/>
      <c r="L4" s="7">
        <f>IF(F4="",0,2)</f>
        <v>2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6"/>
      <c r="B5" s="46"/>
      <c r="C5" s="46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8"/>
      <c r="G5" s="48"/>
      <c r="H5" s="48"/>
      <c r="I5" s="48"/>
      <c r="J5" s="48"/>
      <c r="K5" s="48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6"/>
      <c r="B6" s="46"/>
      <c r="C6" s="46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8"/>
      <c r="G6" s="48"/>
      <c r="H6" s="48"/>
      <c r="I6" s="48"/>
      <c r="J6" s="48"/>
      <c r="K6" s="48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6"/>
      <c r="B7" s="46"/>
      <c r="C7" s="46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8"/>
      <c r="G7" s="48"/>
      <c r="H7" s="48"/>
      <c r="I7" s="48"/>
      <c r="J7" s="48"/>
      <c r="K7" s="48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6"/>
      <c r="B8" s="46"/>
      <c r="C8" s="46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8"/>
      <c r="G8" s="48"/>
      <c r="H8" s="48"/>
      <c r="I8" s="48"/>
      <c r="J8" s="48"/>
      <c r="K8" s="48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6"/>
      <c r="B9" s="46"/>
      <c r="C9" s="46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8"/>
      <c r="G9" s="48"/>
      <c r="H9" s="48"/>
      <c r="I9" s="48"/>
      <c r="J9" s="48"/>
      <c r="K9" s="48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6"/>
      <c r="B10" s="46"/>
      <c r="C10" s="46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8"/>
      <c r="G10" s="48"/>
      <c r="H10" s="48"/>
      <c r="I10" s="48"/>
      <c r="J10" s="48"/>
      <c r="K10" s="48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9" t="s">
        <v>6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</row>
    <row r="12" spans="1:20" ht="27.75" x14ac:dyDescent="0.2">
      <c r="A12" s="43" t="s">
        <v>7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11"/>
      <c r="N12" s="11"/>
    </row>
    <row r="13" spans="1:20" ht="41.1" customHeight="1" x14ac:dyDescent="0.2">
      <c r="A13" s="50" t="s">
        <v>8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12"/>
      <c r="N13" s="11"/>
    </row>
    <row r="14" spans="1:20" ht="15" x14ac:dyDescent="0.25">
      <c r="A14" s="51" t="s">
        <v>9</v>
      </c>
      <c r="B14" s="51" t="s">
        <v>10</v>
      </c>
      <c r="C14" s="51" t="s">
        <v>11</v>
      </c>
      <c r="D14" s="51" t="s">
        <v>12</v>
      </c>
      <c r="E14" s="51" t="s">
        <v>13</v>
      </c>
      <c r="F14" s="51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51"/>
      <c r="B15" s="51"/>
      <c r="C15" s="51"/>
      <c r="D15" s="51"/>
      <c r="E15" s="51"/>
      <c r="F15" s="51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26.098800000000001</v>
      </c>
      <c r="R15" s="19" t="s">
        <v>24</v>
      </c>
      <c r="S15" s="20" t="s">
        <v>25</v>
      </c>
    </row>
    <row r="16" spans="1:20" ht="15.75" x14ac:dyDescent="0.25">
      <c r="A16" s="21">
        <v>9117179</v>
      </c>
      <c r="B16" s="22">
        <v>2</v>
      </c>
      <c r="C16" s="23">
        <v>446</v>
      </c>
      <c r="D16" s="24">
        <v>500</v>
      </c>
      <c r="E16" s="25" t="s">
        <v>30</v>
      </c>
      <c r="F16" s="26"/>
      <c r="G16" s="27">
        <v>1</v>
      </c>
      <c r="H16" s="28">
        <v>1</v>
      </c>
      <c r="I16" s="28"/>
      <c r="J16" s="29"/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1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Gris grafito</v>
      </c>
      <c r="M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3">
        <f t="shared" ref="O16:O79" si="0">(IF(G16&gt;0,C16,0)+IF(H16&gt;0,C16,0)+IF(I16&gt;0,D16,0)+IF(J16&gt;0,D16,0))*B16/1000</f>
        <v>1.784</v>
      </c>
      <c r="Q16">
        <v>1</v>
      </c>
      <c r="R16" s="34">
        <f>((SUMIF(G16:G1016,D3,Hoja3!A1:A1001)+SUMIF(H16:H1016,D3,Hoja3!B1:B1001)+SUMIF(I16:I1016,D3,Hoja3!C1:C1001)+SUMIF(J16:J1016,D3,Hoja3!D1:D1001))/1000)*1.05</f>
        <v>14.227500000000001</v>
      </c>
      <c r="S16" s="35" t="str">
        <f t="shared" ref="S16:S23" si="1">A3</f>
        <v>045 Gris grafito</v>
      </c>
    </row>
    <row r="17" spans="1:19" ht="15.75" x14ac:dyDescent="0.25">
      <c r="A17" s="21">
        <v>9117179</v>
      </c>
      <c r="B17" s="22">
        <v>2</v>
      </c>
      <c r="C17" s="23">
        <v>264</v>
      </c>
      <c r="D17" s="24">
        <v>500</v>
      </c>
      <c r="E17" s="25" t="s">
        <v>31</v>
      </c>
      <c r="F17" s="25"/>
      <c r="G17" s="36">
        <v>1</v>
      </c>
      <c r="H17" s="36">
        <v>1</v>
      </c>
      <c r="I17" s="36"/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1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Gris grafito</v>
      </c>
      <c r="M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1.056</v>
      </c>
      <c r="Q17">
        <v>2</v>
      </c>
      <c r="R17" s="34">
        <f>((SUMIF(G16:G1016,D4,Hoja3!A1:A1001)+SUMIF(H16:H1016,D4,Hoja3!B1:B1001)+SUMIF(I16:I1016,D4,Hoja3!C1:C1001)+SUMIF(J16:J1016,D4,Hoja3!D1:D1001))/1000)*1.05</f>
        <v>11.8713</v>
      </c>
      <c r="S17" s="35" t="str">
        <f t="shared" si="1"/>
        <v>045 scotch</v>
      </c>
    </row>
    <row r="18" spans="1:19" ht="15.75" x14ac:dyDescent="0.25">
      <c r="A18" s="21">
        <v>9117179</v>
      </c>
      <c r="B18" s="22">
        <v>2</v>
      </c>
      <c r="C18" s="23">
        <v>477</v>
      </c>
      <c r="D18" s="24">
        <v>150</v>
      </c>
      <c r="E18" s="25" t="s">
        <v>27</v>
      </c>
      <c r="F18" s="25"/>
      <c r="G18" s="36">
        <v>1</v>
      </c>
      <c r="H18" s="36"/>
      <c r="I18" s="36">
        <v>1</v>
      </c>
      <c r="J18" s="36">
        <v>1</v>
      </c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Gris grafito</v>
      </c>
      <c r="N18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Gris grafito</v>
      </c>
      <c r="O18" s="33">
        <f t="shared" si="0"/>
        <v>1.554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>
        <v>9117179</v>
      </c>
      <c r="B19" s="22">
        <v>2</v>
      </c>
      <c r="C19" s="23">
        <v>414</v>
      </c>
      <c r="D19" s="24">
        <v>150</v>
      </c>
      <c r="E19" s="25" t="s">
        <v>27</v>
      </c>
      <c r="F19" s="25"/>
      <c r="G19" s="36">
        <v>1</v>
      </c>
      <c r="H19" s="36">
        <v>1</v>
      </c>
      <c r="I19" s="36"/>
      <c r="J19" s="36"/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1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Gris grafito</v>
      </c>
      <c r="M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3">
        <f t="shared" si="0"/>
        <v>1.6559999999999999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>
        <v>9117179</v>
      </c>
      <c r="B20" s="22">
        <v>1</v>
      </c>
      <c r="C20" s="23">
        <v>536</v>
      </c>
      <c r="D20" s="24">
        <v>296</v>
      </c>
      <c r="E20" s="25" t="s">
        <v>32</v>
      </c>
      <c r="F20" s="25"/>
      <c r="G20" s="36">
        <v>1</v>
      </c>
      <c r="H20" s="36">
        <v>1</v>
      </c>
      <c r="I20" s="36">
        <v>1</v>
      </c>
      <c r="J20" s="36">
        <v>1</v>
      </c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2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Gris grafito</v>
      </c>
      <c r="M20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Gris grafito</v>
      </c>
      <c r="N20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Gris grafito</v>
      </c>
      <c r="O20" s="33">
        <f t="shared" si="0"/>
        <v>1.6639999999999999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>
        <v>9117179</v>
      </c>
      <c r="B21" s="22">
        <v>2</v>
      </c>
      <c r="C21" s="23">
        <v>634</v>
      </c>
      <c r="D21" s="24">
        <v>268</v>
      </c>
      <c r="E21" s="25" t="s">
        <v>30</v>
      </c>
      <c r="F21" s="25"/>
      <c r="G21" s="37">
        <v>1</v>
      </c>
      <c r="H21" s="37">
        <v>1</v>
      </c>
      <c r="I21" s="37"/>
      <c r="J21" s="37"/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21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Gris grafito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2.536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>
        <v>9117179</v>
      </c>
      <c r="B22" s="22">
        <v>3</v>
      </c>
      <c r="C22" s="23">
        <v>264</v>
      </c>
      <c r="D22" s="24">
        <v>268</v>
      </c>
      <c r="E22" s="25" t="s">
        <v>31</v>
      </c>
      <c r="F22" s="25"/>
      <c r="G22" s="36">
        <v>1</v>
      </c>
      <c r="H22" s="36">
        <v>1</v>
      </c>
      <c r="I22" s="36"/>
      <c r="J22" s="36"/>
      <c r="K2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22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Gris grafito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1.5840000000000001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>
        <v>9117179</v>
      </c>
      <c r="B23" s="22">
        <v>1</v>
      </c>
      <c r="C23" s="23">
        <v>634</v>
      </c>
      <c r="D23" s="24">
        <v>264</v>
      </c>
      <c r="E23" s="25" t="s">
        <v>33</v>
      </c>
      <c r="F23" s="25"/>
      <c r="G23" s="37"/>
      <c r="H23" s="37"/>
      <c r="I23" s="37"/>
      <c r="J23" s="37"/>
      <c r="K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0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>
        <v>9117179</v>
      </c>
      <c r="B24" s="22">
        <v>1</v>
      </c>
      <c r="C24" s="23">
        <v>1116</v>
      </c>
      <c r="D24" s="24">
        <v>200</v>
      </c>
      <c r="E24" s="25" t="s">
        <v>34</v>
      </c>
      <c r="F24" s="25"/>
      <c r="G24" s="37">
        <v>1</v>
      </c>
      <c r="H24" s="37"/>
      <c r="I24" s="37"/>
      <c r="J24" s="37"/>
      <c r="K2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1.1160000000000001</v>
      </c>
      <c r="R24" s="38">
        <f>SUM(R16:R23)</f>
        <v>26.098800000000001</v>
      </c>
      <c r="S24" s="39" t="s">
        <v>26</v>
      </c>
    </row>
    <row r="25" spans="1:19" x14ac:dyDescent="0.2">
      <c r="A25" s="21">
        <v>9117179</v>
      </c>
      <c r="B25" s="22">
        <v>1</v>
      </c>
      <c r="C25" s="23">
        <v>300</v>
      </c>
      <c r="D25" s="24">
        <v>200</v>
      </c>
      <c r="E25" s="25" t="s">
        <v>35</v>
      </c>
      <c r="F25" s="25"/>
      <c r="G25" s="37">
        <v>1</v>
      </c>
      <c r="H25" s="37"/>
      <c r="I25" s="37"/>
      <c r="J25" s="37"/>
      <c r="K2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0.3</v>
      </c>
    </row>
    <row r="26" spans="1:19" x14ac:dyDescent="0.2">
      <c r="A26" s="21">
        <v>9117179</v>
      </c>
      <c r="B26" s="22">
        <v>1</v>
      </c>
      <c r="C26" s="23">
        <v>300</v>
      </c>
      <c r="D26" s="24">
        <v>434</v>
      </c>
      <c r="E26" s="25" t="s">
        <v>35</v>
      </c>
      <c r="F26" s="25"/>
      <c r="G26" s="37">
        <v>1</v>
      </c>
      <c r="H26" s="37"/>
      <c r="I26" s="37"/>
      <c r="J26" s="37"/>
      <c r="K2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0.3</v>
      </c>
    </row>
    <row r="27" spans="1:19" x14ac:dyDescent="0.2">
      <c r="A27" s="21"/>
      <c r="B27" s="22"/>
      <c r="C27" s="23"/>
      <c r="D27" s="24"/>
      <c r="E27" s="25"/>
      <c r="F27" s="25"/>
      <c r="G27" s="37"/>
      <c r="H27" s="37"/>
      <c r="I27" s="37"/>
      <c r="J27" s="37"/>
      <c r="K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0</v>
      </c>
    </row>
    <row r="28" spans="1:19" x14ac:dyDescent="0.2">
      <c r="A28" s="21"/>
      <c r="B28" s="22"/>
      <c r="C28" s="23"/>
      <c r="D28" s="24"/>
      <c r="E28" s="25"/>
      <c r="F28" s="25"/>
      <c r="G28" s="37"/>
      <c r="H28" s="37"/>
      <c r="I28" s="37"/>
      <c r="J28" s="37"/>
      <c r="K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0</v>
      </c>
    </row>
    <row r="29" spans="1:19" x14ac:dyDescent="0.2">
      <c r="A29" s="21">
        <v>9134116</v>
      </c>
      <c r="B29" s="22">
        <v>2</v>
      </c>
      <c r="C29" s="23">
        <v>1080</v>
      </c>
      <c r="D29" s="24">
        <v>500</v>
      </c>
      <c r="E29" s="25" t="s">
        <v>30</v>
      </c>
      <c r="F29" s="25"/>
      <c r="G29" s="37">
        <v>2</v>
      </c>
      <c r="H29" s="37">
        <v>2</v>
      </c>
      <c r="I29" s="37"/>
      <c r="J29" s="37"/>
      <c r="K2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2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scotch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4.32</v>
      </c>
    </row>
    <row r="30" spans="1:19" x14ac:dyDescent="0.2">
      <c r="A30" s="21">
        <v>9134116</v>
      </c>
      <c r="B30" s="22">
        <v>4</v>
      </c>
      <c r="C30" s="23">
        <v>264</v>
      </c>
      <c r="D30" s="24">
        <v>500</v>
      </c>
      <c r="E30" s="25" t="s">
        <v>31</v>
      </c>
      <c r="F30" s="25"/>
      <c r="G30" s="37">
        <v>2</v>
      </c>
      <c r="H30" s="37">
        <v>2</v>
      </c>
      <c r="I30" s="37"/>
      <c r="J30" s="37"/>
      <c r="K3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3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scotch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2.1120000000000001</v>
      </c>
    </row>
    <row r="31" spans="1:19" x14ac:dyDescent="0.2">
      <c r="A31" s="21">
        <v>9134116</v>
      </c>
      <c r="B31" s="22">
        <v>2</v>
      </c>
      <c r="C31" s="23">
        <v>477</v>
      </c>
      <c r="D31" s="24">
        <v>150</v>
      </c>
      <c r="E31" s="25" t="s">
        <v>27</v>
      </c>
      <c r="F31" s="25"/>
      <c r="G31" s="37">
        <v>2</v>
      </c>
      <c r="H31" s="37"/>
      <c r="I31" s="37">
        <v>2</v>
      </c>
      <c r="J31" s="37">
        <v>2</v>
      </c>
      <c r="K3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scotch</v>
      </c>
      <c r="N31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scotch</v>
      </c>
      <c r="O31" s="33">
        <f t="shared" si="0"/>
        <v>1.554</v>
      </c>
    </row>
    <row r="32" spans="1:19" x14ac:dyDescent="0.2">
      <c r="A32" s="21">
        <v>9134116</v>
      </c>
      <c r="B32" s="22">
        <v>2</v>
      </c>
      <c r="C32" s="23">
        <v>414</v>
      </c>
      <c r="D32" s="24">
        <v>150</v>
      </c>
      <c r="E32" s="25" t="s">
        <v>27</v>
      </c>
      <c r="F32" s="25"/>
      <c r="G32" s="37">
        <v>2</v>
      </c>
      <c r="H32" s="37">
        <v>2</v>
      </c>
      <c r="I32" s="37"/>
      <c r="J32" s="37"/>
      <c r="K3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32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scotch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1.6559999999999999</v>
      </c>
    </row>
    <row r="33" spans="1:15" x14ac:dyDescent="0.2">
      <c r="A33" s="21">
        <v>9134116</v>
      </c>
      <c r="B33" s="22">
        <v>1</v>
      </c>
      <c r="C33" s="23">
        <v>536</v>
      </c>
      <c r="D33" s="24">
        <v>296</v>
      </c>
      <c r="E33" s="25" t="s">
        <v>32</v>
      </c>
      <c r="F33" s="25"/>
      <c r="G33" s="37">
        <v>2</v>
      </c>
      <c r="H33" s="37">
        <v>2</v>
      </c>
      <c r="I33" s="37">
        <v>2</v>
      </c>
      <c r="J33" s="37">
        <v>2</v>
      </c>
      <c r="K3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33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scotch</v>
      </c>
      <c r="M33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scotch</v>
      </c>
      <c r="N33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scotch</v>
      </c>
      <c r="O33" s="33">
        <f t="shared" si="0"/>
        <v>1.6639999999999999</v>
      </c>
    </row>
    <row r="34" spans="1:15" x14ac:dyDescent="0.2">
      <c r="A34" s="21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F14:F15"/>
    <mergeCell ref="A14:A15"/>
    <mergeCell ref="B14:B15"/>
    <mergeCell ref="C14:C15"/>
    <mergeCell ref="D14:D15"/>
    <mergeCell ref="E14:E15"/>
    <mergeCell ref="A10:C10"/>
    <mergeCell ref="F10:K10"/>
    <mergeCell ref="A11:N11"/>
    <mergeCell ref="A12:L12"/>
    <mergeCell ref="A13:L13"/>
    <mergeCell ref="A7:C7"/>
    <mergeCell ref="F7:K7"/>
    <mergeCell ref="A8:C8"/>
    <mergeCell ref="F8:K8"/>
    <mergeCell ref="A9:C9"/>
    <mergeCell ref="F9:K9"/>
    <mergeCell ref="A4:C4"/>
    <mergeCell ref="F4:K4"/>
    <mergeCell ref="A5:C5"/>
    <mergeCell ref="F5:K5"/>
    <mergeCell ref="A6:C6"/>
    <mergeCell ref="F6:K6"/>
    <mergeCell ref="A1:D1"/>
    <mergeCell ref="F1:L1"/>
    <mergeCell ref="A2:C2"/>
    <mergeCell ref="F2:K2"/>
    <mergeCell ref="A3:C3"/>
    <mergeCell ref="F3:K3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892</v>
      </c>
      <c r="B1">
        <f>Hoja1!B16*Hoja1!C16</f>
        <v>892</v>
      </c>
      <c r="C1">
        <f>Hoja1!B16*Hoja1!D16</f>
        <v>1000</v>
      </c>
      <c r="D1">
        <f>Hoja1!B16*Hoja1!D16</f>
        <v>1000</v>
      </c>
    </row>
    <row r="2" spans="1:4" x14ac:dyDescent="0.2">
      <c r="A2">
        <f>Hoja1!B17*Hoja1!C17</f>
        <v>528</v>
      </c>
      <c r="B2">
        <f>Hoja1!B17*Hoja1!C17</f>
        <v>528</v>
      </c>
      <c r="C2">
        <f>Hoja1!B17*Hoja1!D17</f>
        <v>1000</v>
      </c>
      <c r="D2">
        <f>Hoja1!B17*Hoja1!D17</f>
        <v>1000</v>
      </c>
    </row>
    <row r="3" spans="1:4" x14ac:dyDescent="0.2">
      <c r="A3">
        <f>Hoja1!B18*Hoja1!C18</f>
        <v>954</v>
      </c>
      <c r="B3">
        <f>Hoja1!B18*Hoja1!C18</f>
        <v>954</v>
      </c>
      <c r="C3">
        <f>Hoja1!B18*Hoja1!D18</f>
        <v>300</v>
      </c>
      <c r="D3">
        <f>Hoja1!B18*Hoja1!D18</f>
        <v>300</v>
      </c>
    </row>
    <row r="4" spans="1:4" x14ac:dyDescent="0.2">
      <c r="A4">
        <f>Hoja1!B19*Hoja1!C19</f>
        <v>828</v>
      </c>
      <c r="B4">
        <f>Hoja1!B19*Hoja1!C19</f>
        <v>828</v>
      </c>
      <c r="C4">
        <f>Hoja1!B19*Hoja1!D19</f>
        <v>300</v>
      </c>
      <c r="D4">
        <f>Hoja1!B19*Hoja1!D19</f>
        <v>300</v>
      </c>
    </row>
    <row r="5" spans="1:4" x14ac:dyDescent="0.2">
      <c r="A5">
        <f>Hoja1!B20*Hoja1!C20</f>
        <v>536</v>
      </c>
      <c r="B5">
        <f>Hoja1!B20*Hoja1!C20</f>
        <v>536</v>
      </c>
      <c r="C5">
        <f>Hoja1!B20*Hoja1!D20</f>
        <v>296</v>
      </c>
      <c r="D5">
        <f>Hoja1!B20*Hoja1!D20</f>
        <v>296</v>
      </c>
    </row>
    <row r="6" spans="1:4" x14ac:dyDescent="0.2">
      <c r="A6">
        <f>Hoja1!B21*Hoja1!C21</f>
        <v>1268</v>
      </c>
      <c r="B6">
        <f>Hoja1!B21*Hoja1!C21</f>
        <v>1268</v>
      </c>
      <c r="C6">
        <f>Hoja1!B21*Hoja1!D21</f>
        <v>536</v>
      </c>
      <c r="D6">
        <f>Hoja1!B21*Hoja1!D21</f>
        <v>536</v>
      </c>
    </row>
    <row r="7" spans="1:4" x14ac:dyDescent="0.2">
      <c r="A7">
        <f>Hoja1!B22*Hoja1!C22</f>
        <v>792</v>
      </c>
      <c r="B7">
        <f>Hoja1!B22*Hoja1!C22</f>
        <v>792</v>
      </c>
      <c r="C7">
        <f>Hoja1!B22*Hoja1!D22</f>
        <v>804</v>
      </c>
      <c r="D7">
        <f>Hoja1!B22*Hoja1!D22</f>
        <v>804</v>
      </c>
    </row>
    <row r="8" spans="1:4" x14ac:dyDescent="0.2">
      <c r="A8">
        <f>Hoja1!B23*Hoja1!C23</f>
        <v>634</v>
      </c>
      <c r="B8">
        <f>Hoja1!B23*Hoja1!C23</f>
        <v>634</v>
      </c>
      <c r="C8">
        <f>Hoja1!B23*Hoja1!D23</f>
        <v>264</v>
      </c>
      <c r="D8">
        <f>Hoja1!B23*Hoja1!D23</f>
        <v>264</v>
      </c>
    </row>
    <row r="9" spans="1:4" x14ac:dyDescent="0.2">
      <c r="A9">
        <f>Hoja1!B24*Hoja1!C24</f>
        <v>1116</v>
      </c>
      <c r="B9">
        <f>Hoja1!B24*Hoja1!C24</f>
        <v>1116</v>
      </c>
      <c r="C9">
        <f>Hoja1!B24*Hoja1!D24</f>
        <v>200</v>
      </c>
      <c r="D9">
        <f>Hoja1!B24*Hoja1!D24</f>
        <v>200</v>
      </c>
    </row>
    <row r="10" spans="1:4" x14ac:dyDescent="0.2">
      <c r="A10">
        <f>Hoja1!B25*Hoja1!C25</f>
        <v>300</v>
      </c>
      <c r="B10">
        <f>Hoja1!B25*Hoja1!C25</f>
        <v>300</v>
      </c>
      <c r="C10">
        <f>Hoja1!B25*Hoja1!D25</f>
        <v>200</v>
      </c>
      <c r="D10">
        <f>Hoja1!B25*Hoja1!D25</f>
        <v>200</v>
      </c>
    </row>
    <row r="11" spans="1:4" x14ac:dyDescent="0.2">
      <c r="A11">
        <f>Hoja1!B26*Hoja1!C26</f>
        <v>300</v>
      </c>
      <c r="B11">
        <f>Hoja1!B26*Hoja1!C26</f>
        <v>300</v>
      </c>
      <c r="C11">
        <f>Hoja1!B26*Hoja1!D26</f>
        <v>434</v>
      </c>
      <c r="D11">
        <f>Hoja1!B26*Hoja1!D26</f>
        <v>434</v>
      </c>
    </row>
    <row r="12" spans="1:4" x14ac:dyDescent="0.2">
      <c r="A12">
        <f>Hoja1!B27*Hoja1!C27</f>
        <v>0</v>
      </c>
      <c r="B12">
        <f>Hoja1!B27*Hoja1!C27</f>
        <v>0</v>
      </c>
      <c r="C12">
        <f>Hoja1!B27*Hoja1!D27</f>
        <v>0</v>
      </c>
      <c r="D12">
        <f>Hoja1!B27*Hoja1!D27</f>
        <v>0</v>
      </c>
    </row>
    <row r="13" spans="1:4" x14ac:dyDescent="0.2">
      <c r="A13">
        <f>Hoja1!B28*Hoja1!C28</f>
        <v>0</v>
      </c>
      <c r="B13">
        <f>Hoja1!B28*Hoja1!C28</f>
        <v>0</v>
      </c>
      <c r="C13">
        <f>Hoja1!B28*Hoja1!D28</f>
        <v>0</v>
      </c>
      <c r="D13">
        <f>Hoja1!B28*Hoja1!D28</f>
        <v>0</v>
      </c>
    </row>
    <row r="14" spans="1:4" x14ac:dyDescent="0.2">
      <c r="A14">
        <f>Hoja1!B29*Hoja1!C29</f>
        <v>2160</v>
      </c>
      <c r="B14">
        <f>Hoja1!B29*Hoja1!C29</f>
        <v>2160</v>
      </c>
      <c r="C14">
        <f>Hoja1!B29*Hoja1!D29</f>
        <v>1000</v>
      </c>
      <c r="D14">
        <f>Hoja1!B29*Hoja1!D29</f>
        <v>1000</v>
      </c>
    </row>
    <row r="15" spans="1:4" x14ac:dyDescent="0.2">
      <c r="A15">
        <f>Hoja1!B30*Hoja1!C30</f>
        <v>1056</v>
      </c>
      <c r="B15">
        <f>Hoja1!B30*Hoja1!C30</f>
        <v>1056</v>
      </c>
      <c r="C15">
        <f>Hoja1!B30*Hoja1!D30</f>
        <v>2000</v>
      </c>
      <c r="D15">
        <f>Hoja1!B30*Hoja1!D30</f>
        <v>2000</v>
      </c>
    </row>
    <row r="16" spans="1:4" x14ac:dyDescent="0.2">
      <c r="A16">
        <f>Hoja1!B31*Hoja1!C31</f>
        <v>954</v>
      </c>
      <c r="B16">
        <f>Hoja1!B31*Hoja1!C31</f>
        <v>954</v>
      </c>
      <c r="C16">
        <f>Hoja1!B31*Hoja1!D31</f>
        <v>300</v>
      </c>
      <c r="D16">
        <f>Hoja1!B31*Hoja1!D31</f>
        <v>300</v>
      </c>
    </row>
    <row r="17" spans="1:4" x14ac:dyDescent="0.2">
      <c r="A17">
        <f>Hoja1!B32*Hoja1!C32</f>
        <v>828</v>
      </c>
      <c r="B17">
        <f>Hoja1!B32*Hoja1!C32</f>
        <v>828</v>
      </c>
      <c r="C17">
        <f>Hoja1!B32*Hoja1!D32</f>
        <v>300</v>
      </c>
      <c r="D17">
        <f>Hoja1!B32*Hoja1!D32</f>
        <v>300</v>
      </c>
    </row>
    <row r="18" spans="1:4" x14ac:dyDescent="0.2">
      <c r="A18">
        <f>Hoja1!B33*Hoja1!C33</f>
        <v>536</v>
      </c>
      <c r="B18">
        <f>Hoja1!B33*Hoja1!C33</f>
        <v>536</v>
      </c>
      <c r="C18">
        <f>Hoja1!B33*Hoja1!D33</f>
        <v>296</v>
      </c>
      <c r="D18">
        <f>Hoja1!B33*Hoja1!D33</f>
        <v>296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2025-04-14T13:40:03Z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