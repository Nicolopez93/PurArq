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sole depetris\"/>
    </mc:Choice>
  </mc:AlternateContent>
  <xr:revisionPtr revIDLastSave="0" documentId="8_{E1F1F1DF-43F8-4AC9-B0A2-72DC3BB8322D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<sst xmlns="http://schemas.openxmlformats.org/spreadsheetml/2006/main" count="41" uniqueCount="32">
  <si>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</si>
  <si>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</si>
  <si>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</si>
  <si>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</si>
  <si>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</si>
  <si>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</si>
  <si>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</si>
  <si>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</si>
  <si>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</si>
  <si>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</si>
  <si>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</si>
  <si>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</si>
  <si>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</si>
  <si>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</si>
  <si>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</si>
  <si>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</si>
  <si>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</si>
  <si>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</si>
  <si>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</si>
  <si>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</si>
  <si>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</si>
  <si>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</si>
  <si>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</si>
  <si>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</si>
  <si>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</si>
  <si>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</si>
  <si>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</si>
  <si>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lat cajon</t>
  </si>
  <si>
    <t>045 Gris grafito</t>
  </si>
  <si>
    <t>base</t>
  </si>
  <si>
    <t xml:space="preserve">lat </t>
  </si>
  <si>
    <t>tapa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</si>
</sst>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B21" sqref="B21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95.744</v>
      </c>
      <c r="F3" s="47">
        <v>9117179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23.742600000000003</v>
      </c>
      <c r="R15" s="19" t="s">
        <v>24</v>
      </c>
      <c r="S15" s="20" t="s">
        <v>25</v>
      </c>
    </row>
    <row r="16" spans="1:20" ht="15.75" x14ac:dyDescent="0.25">
      <c r="A16" s="21">
        <v>9117179</v>
      </c>
      <c r="B16" s="22">
        <v>4</v>
      </c>
      <c r="C16" s="23">
        <v>1080</v>
      </c>
      <c r="D16" s="24">
        <v>500</v>
      </c>
      <c r="E16" s="25" t="s">
        <v>29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8.64</v>
      </c>
      <c r="Q16">
        <v>1</v>
      </c>
      <c r="R16" s="34">
        <f>((SUMIF(G16:G1016,D3,Hoja3!A1:A1001)+SUMIF(H16:H1016,D3,Hoja3!B1:B1001)+SUMIF(I16:I1016,D3,Hoja3!C1:C1001)+SUMIF(J16:J1016,D3,Hoja3!D1:D1001))/1000)*1.05</f>
        <v>23.742599999999999</v>
      </c>
      <c r="S16" s="35" t="str">
        <f t="shared" ref="S16:S23" si="1">A3</f>
        <v>045 Gris grafito</v>
      </c>
    </row>
    <row r="17" spans="1:19" ht="15.75" x14ac:dyDescent="0.25">
      <c r="A17" s="21">
        <v>9117179</v>
      </c>
      <c r="B17" s="22">
        <v>8</v>
      </c>
      <c r="C17" s="23">
        <v>264</v>
      </c>
      <c r="D17" s="24">
        <v>500</v>
      </c>
      <c r="E17" s="25" t="s">
        <v>30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4.2240000000000002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9117179</v>
      </c>
      <c r="B18" s="22">
        <v>4</v>
      </c>
      <c r="C18" s="23">
        <v>477</v>
      </c>
      <c r="D18" s="24">
        <v>150</v>
      </c>
      <c r="E18" s="25" t="s">
        <v>27</v>
      </c>
      <c r="F18" s="25"/>
      <c r="G18" s="36">
        <v>1</v>
      </c>
      <c r="H18" s="36"/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18" s="33">
        <f t="shared" si="0"/>
        <v>3.1080000000000001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9117179</v>
      </c>
      <c r="B19" s="22">
        <v>4</v>
      </c>
      <c r="C19" s="23">
        <v>414</v>
      </c>
      <c r="D19" s="24">
        <v>150</v>
      </c>
      <c r="E19" s="25" t="s">
        <v>27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3.3119999999999998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9117179</v>
      </c>
      <c r="B20" s="22">
        <v>2</v>
      </c>
      <c r="C20" s="23">
        <v>536</v>
      </c>
      <c r="D20" s="24">
        <v>296</v>
      </c>
      <c r="E20" s="25" t="s">
        <v>31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20" s="33">
        <f t="shared" si="0"/>
        <v>3.3279999999999998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23.742599999999999</v>
      </c>
      <c r="S24" s="39" t="s">
        <v>26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4320</v>
      </c>
      <c r="B1">
        <f>Hoja1!B16*Hoja1!C16</f>
        <v>4320</v>
      </c>
      <c r="C1">
        <f>Hoja1!B16*Hoja1!D16</f>
        <v>2000</v>
      </c>
      <c r="D1">
        <f>Hoja1!B16*Hoja1!D16</f>
        <v>2000</v>
      </c>
    </row>
    <row r="2" spans="1:4" x14ac:dyDescent="0.2">
      <c r="A2">
        <f>Hoja1!B17*Hoja1!C17</f>
        <v>2112</v>
      </c>
      <c r="B2">
        <f>Hoja1!B17*Hoja1!C17</f>
        <v>2112</v>
      </c>
      <c r="C2">
        <f>Hoja1!B17*Hoja1!D17</f>
        <v>4000</v>
      </c>
      <c r="D2">
        <f>Hoja1!B17*Hoja1!D17</f>
        <v>4000</v>
      </c>
    </row>
    <row r="3" spans="1:4" x14ac:dyDescent="0.2">
      <c r="A3">
        <f>Hoja1!B18*Hoja1!C18</f>
        <v>1908</v>
      </c>
      <c r="B3">
        <f>Hoja1!B18*Hoja1!C18</f>
        <v>1908</v>
      </c>
      <c r="C3">
        <f>Hoja1!B18*Hoja1!D18</f>
        <v>600</v>
      </c>
      <c r="D3">
        <f>Hoja1!B18*Hoja1!D18</f>
        <v>600</v>
      </c>
    </row>
    <row r="4" spans="1:4" x14ac:dyDescent="0.2">
      <c r="A4">
        <f>Hoja1!B19*Hoja1!C19</f>
        <v>1656</v>
      </c>
      <c r="B4">
        <f>Hoja1!B19*Hoja1!C19</f>
        <v>1656</v>
      </c>
      <c r="C4">
        <f>Hoja1!B19*Hoja1!D19</f>
        <v>600</v>
      </c>
      <c r="D4">
        <f>Hoja1!B19*Hoja1!D19</f>
        <v>600</v>
      </c>
    </row>
    <row r="5" spans="1:4" x14ac:dyDescent="0.2">
      <c r="A5">
        <f>Hoja1!B20*Hoja1!C20</f>
        <v>1072</v>
      </c>
      <c r="B5">
        <f>Hoja1!B20*Hoja1!C20</f>
        <v>1072</v>
      </c>
      <c r="C5">
        <f>Hoja1!B20*Hoja1!D20</f>
        <v>592</v>
      </c>
      <c r="D5">
        <f>Hoja1!B20*Hoja1!D20</f>
        <v>592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2025-04-08T01:45:30Z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