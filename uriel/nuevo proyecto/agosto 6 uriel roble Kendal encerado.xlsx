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uriel\nuevo proyecto\"/>
    </mc:Choice>
  </mc:AlternateContent>
  <xr:revisionPtr revIDLastSave="0" documentId="13_ncr:1_{B889071B-1F3F-4408-A9E2-B8C39BCE3AF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<sst xmlns="http://schemas.openxmlformats.org/spreadsheetml/2006/main" count="57" uniqueCount="45">
  <si>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</si>
  <si>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</si>
  <si>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</si>
  <si>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</si>
  <si>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</si>
  <si>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</si>
  <si>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</si>
  <si>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</si>
  <si>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</si>
  <si>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</si>
  <si>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</si>
  <si>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</si>
  <si>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</si>
  <si>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</si>
  <si>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</si>
  <si>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</si>
  <si>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</si>
  <si>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</si>
  <si>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</si>
  <si>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</si>
  <si>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</si>
  <si>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</si>
  <si>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</si>
  <si>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</si>
  <si>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</si>
  <si>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</si>
  <si>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</si>
  <si>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roble kendal encerado</t>
  </si>
  <si>
    <t>lat final</t>
  </si>
  <si>
    <t>celulares</t>
  </si>
  <si>
    <t>fondo blanco celu</t>
  </si>
  <si>
    <t xml:space="preserve">tapa final </t>
  </si>
  <si>
    <t>zocalo</t>
  </si>
  <si>
    <t>tapas cajon</t>
  </si>
  <si>
    <t xml:space="preserve"> </t>
  </si>
  <si>
    <t>lat cajones</t>
  </si>
  <si>
    <t>base infe</t>
  </si>
  <si>
    <t>base supe</t>
  </si>
  <si>
    <t>lat cajones int</t>
  </si>
  <si>
    <t>9117152</t>
  </si>
  <si>
    <t>mesas</t>
  </si>
  <si>
    <t>2mm roble kendal encerado</t>
  </si>
  <si>
    <t>soportes</t>
  </si>
  <si>
    <t xml:space="preserve">cajon </t>
  </si>
  <si>
    <t>cajon2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</si>
</sst>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  <font>
      <sz val="12"/>
      <color rgb="FF4B4B4B"/>
      <name val="Roboto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  <xf numFmtId="49" fontId="22" fillId="3" borderId="1" xfId="0" applyNumberFormat="1" applyFont="1" applyFill="1" applyBorder="1" applyProtection="1"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8" zoomScale="130" zoomScaleNormal="130" workbookViewId="0">
      <selection activeCell="A35" sqref="A3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27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671.63800000000003</v>
      </c>
      <c r="F3" s="52">
        <v>9134618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 t="s">
        <v>41</v>
      </c>
      <c r="B4" s="45"/>
      <c r="C4" s="45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9.6639999999999997</v>
      </c>
      <c r="F4" s="46">
        <v>9117152</v>
      </c>
      <c r="G4" s="46"/>
      <c r="H4" s="46"/>
      <c r="I4" s="46"/>
      <c r="J4" s="46"/>
      <c r="K4" s="46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>
        <v>9132307</v>
      </c>
      <c r="G5" s="46"/>
      <c r="H5" s="46"/>
      <c r="I5" s="46"/>
      <c r="J5" s="46"/>
      <c r="K5" s="46"/>
      <c r="L5" s="7">
        <f>IF(F5="",0,3)</f>
        <v>3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98.28</v>
      </c>
      <c r="R15" s="19" t="s">
        <v>24</v>
      </c>
      <c r="S15" s="20" t="s">
        <v>25</v>
      </c>
    </row>
    <row r="16" spans="1:20" ht="15.75" x14ac:dyDescent="0.25">
      <c r="A16" s="21">
        <v>9134618</v>
      </c>
      <c r="B16" s="22">
        <v>35</v>
      </c>
      <c r="C16" s="23">
        <v>300</v>
      </c>
      <c r="D16" s="24">
        <v>302</v>
      </c>
      <c r="E16" s="25" t="s">
        <v>29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88.132800000000017</v>
      </c>
      <c r="S16" s="35" t="str">
        <f t="shared" ref="S16:S23" si="1">A3</f>
        <v>045 roble kendal encerado</v>
      </c>
    </row>
    <row r="17" spans="1:19" ht="15.75" x14ac:dyDescent="0.25">
      <c r="A17" s="21">
        <v>9134618</v>
      </c>
      <c r="B17" s="22">
        <v>5</v>
      </c>
      <c r="C17" s="23">
        <v>300</v>
      </c>
      <c r="D17" s="24">
        <v>302</v>
      </c>
      <c r="E17" s="25" t="s">
        <v>29</v>
      </c>
      <c r="F17" s="25"/>
      <c r="G17" s="36"/>
      <c r="H17" s="36"/>
      <c r="I17" s="36"/>
      <c r="J17" s="36">
        <v>1</v>
      </c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kendal encerado</v>
      </c>
      <c r="O17" s="33">
        <f t="shared" si="0"/>
        <v>1.51</v>
      </c>
      <c r="Q17">
        <v>2</v>
      </c>
      <c r="R17" s="34">
        <f>((SUMIF(G16:G1016,D4,Hoja3!A1:A1001)+SUMIF(H16:H1016,D4,Hoja3!B1:B1001)+SUMIF(I16:I1016,D4,Hoja3!C1:C1001)+SUMIF(J16:J1016,D4,Hoja3!D1:D1001))/1000)*1.05</f>
        <v>10.1472</v>
      </c>
      <c r="S17" s="35" t="str">
        <f t="shared" si="1"/>
        <v>2mm roble kendal encerado</v>
      </c>
    </row>
    <row r="18" spans="1:19" ht="15.75" x14ac:dyDescent="0.25">
      <c r="A18" s="53">
        <v>9132307</v>
      </c>
      <c r="B18" s="22">
        <v>8</v>
      </c>
      <c r="C18" s="23">
        <v>1510</v>
      </c>
      <c r="D18" s="24">
        <v>300</v>
      </c>
      <c r="E18" s="25" t="s">
        <v>30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 t="s">
        <v>34</v>
      </c>
      <c r="B19" s="22">
        <v>1</v>
      </c>
      <c r="C19" s="23">
        <v>2408</v>
      </c>
      <c r="D19" s="24">
        <v>453</v>
      </c>
      <c r="E19" s="25" t="s">
        <v>31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kendal encerado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kendal encerado</v>
      </c>
      <c r="O19" s="33">
        <f t="shared" si="0"/>
        <v>5.7220000000000004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9134618</v>
      </c>
      <c r="B20" s="22">
        <v>2</v>
      </c>
      <c r="C20" s="23">
        <v>438</v>
      </c>
      <c r="D20" s="24">
        <v>450</v>
      </c>
      <c r="E20" s="25" t="s">
        <v>28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kendal encerado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1.776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9134618</v>
      </c>
      <c r="B21" s="22">
        <v>4</v>
      </c>
      <c r="C21" s="23">
        <v>588</v>
      </c>
      <c r="D21" s="24">
        <v>331</v>
      </c>
      <c r="E21" s="25" t="s">
        <v>33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kendal encerado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kendal encerado</v>
      </c>
      <c r="O21" s="33">
        <f t="shared" si="0"/>
        <v>7.3520000000000003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>
        <v>9134618</v>
      </c>
      <c r="B22" s="22">
        <v>1</v>
      </c>
      <c r="C22" s="23">
        <v>2368</v>
      </c>
      <c r="D22" s="24">
        <v>70</v>
      </c>
      <c r="E22" s="25" t="s">
        <v>32</v>
      </c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53">
        <v>9117152</v>
      </c>
      <c r="B23" s="22">
        <v>8</v>
      </c>
      <c r="C23" s="23">
        <v>332</v>
      </c>
      <c r="D23" s="24">
        <v>430</v>
      </c>
      <c r="E23" s="25" t="s">
        <v>35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5.3120000000000003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53">
        <v>9117152</v>
      </c>
      <c r="B24" s="22">
        <v>4</v>
      </c>
      <c r="C24" s="23">
        <v>592</v>
      </c>
      <c r="D24" s="24">
        <v>430</v>
      </c>
      <c r="E24" s="25" t="s">
        <v>36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4.7359999999999998</v>
      </c>
      <c r="R24" s="38">
        <f>SUM(R16:R23)</f>
        <v>98.280000000000015</v>
      </c>
      <c r="S24" s="39" t="s">
        <v>26</v>
      </c>
    </row>
    <row r="25" spans="1:19" ht="15.75" x14ac:dyDescent="0.25">
      <c r="A25" s="53">
        <v>9117152</v>
      </c>
      <c r="B25" s="22">
        <v>4</v>
      </c>
      <c r="C25" s="23">
        <v>592</v>
      </c>
      <c r="D25" s="24">
        <v>402</v>
      </c>
      <c r="E25" s="25" t="s">
        <v>37</v>
      </c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5.75" x14ac:dyDescent="0.25">
      <c r="A26" s="53">
        <v>9117152</v>
      </c>
      <c r="B26" s="22">
        <v>8</v>
      </c>
      <c r="C26" s="23">
        <v>529</v>
      </c>
      <c r="D26" s="24">
        <v>200</v>
      </c>
      <c r="E26" s="25" t="s">
        <v>38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kendal encerado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kendal encerado</v>
      </c>
      <c r="O26" s="33">
        <f t="shared" si="0"/>
        <v>7.4320000000000004</v>
      </c>
    </row>
    <row r="27" spans="1:19" ht="15.75" x14ac:dyDescent="0.25">
      <c r="A27" s="53">
        <v>9117152</v>
      </c>
      <c r="B27" s="22">
        <v>8</v>
      </c>
      <c r="C27" s="23">
        <v>364</v>
      </c>
      <c r="D27" s="24">
        <v>200</v>
      </c>
      <c r="E27" s="25" t="s">
        <v>38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5.8239999999999998</v>
      </c>
    </row>
    <row r="28" spans="1:19" ht="15.75" x14ac:dyDescent="0.25">
      <c r="A28" s="53">
        <v>9117152</v>
      </c>
      <c r="B28" s="22">
        <v>4</v>
      </c>
      <c r="C28" s="23">
        <v>350</v>
      </c>
      <c r="D28" s="24">
        <v>70</v>
      </c>
      <c r="E28" s="25" t="s">
        <v>32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ht="15.75" x14ac:dyDescent="0.25">
      <c r="A29" s="53" t="s">
        <v>39</v>
      </c>
      <c r="B29" s="22">
        <v>1</v>
      </c>
      <c r="C29" s="23">
        <v>2368</v>
      </c>
      <c r="D29" s="24">
        <v>70</v>
      </c>
      <c r="E29" s="25" t="s">
        <v>32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>
        <v>9134618</v>
      </c>
      <c r="B30" s="22">
        <v>2</v>
      </c>
      <c r="C30" s="23">
        <v>1656</v>
      </c>
      <c r="D30" s="24">
        <v>760</v>
      </c>
      <c r="E30" s="25" t="s">
        <v>40</v>
      </c>
      <c r="F30" s="25"/>
      <c r="G30" s="37">
        <v>2</v>
      </c>
      <c r="H30" s="37">
        <v>2</v>
      </c>
      <c r="I30" s="37">
        <v>2</v>
      </c>
      <c r="J30" s="37">
        <v>2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roble kendal encerado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roble kendal encerado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roble kendal encerado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roble kendal encerado</v>
      </c>
      <c r="O30" s="33">
        <f t="shared" si="0"/>
        <v>9.6639999999999997</v>
      </c>
    </row>
    <row r="31" spans="1:19" x14ac:dyDescent="0.2">
      <c r="A31" s="21">
        <v>9134618</v>
      </c>
      <c r="B31" s="22">
        <v>4</v>
      </c>
      <c r="C31" s="23">
        <v>1564</v>
      </c>
      <c r="D31" s="24">
        <v>70</v>
      </c>
      <c r="E31" s="25" t="s">
        <v>42</v>
      </c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>
        <v>9134618</v>
      </c>
      <c r="B32" s="22">
        <v>4</v>
      </c>
      <c r="C32" s="23">
        <v>1600</v>
      </c>
      <c r="D32" s="24">
        <v>150</v>
      </c>
      <c r="E32" s="25" t="s">
        <v>43</v>
      </c>
      <c r="F32" s="25"/>
      <c r="G32" s="37">
        <v>1</v>
      </c>
      <c r="H32" s="37"/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6.4</v>
      </c>
    </row>
    <row r="33" spans="1:15" x14ac:dyDescent="0.2">
      <c r="A33" s="21">
        <v>9134618</v>
      </c>
      <c r="B33" s="22">
        <v>4</v>
      </c>
      <c r="C33" s="23">
        <v>668</v>
      </c>
      <c r="D33" s="24">
        <v>150</v>
      </c>
      <c r="E33" s="25" t="s">
        <v>44</v>
      </c>
      <c r="F33" s="25"/>
      <c r="G33" s="37">
        <v>1</v>
      </c>
      <c r="H33" s="37"/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2.6720000000000002</v>
      </c>
    </row>
    <row r="34" spans="1:15" x14ac:dyDescent="0.2">
      <c r="A34" s="21">
        <v>9134618</v>
      </c>
      <c r="B34" s="22">
        <v>16</v>
      </c>
      <c r="C34" s="23">
        <v>1100</v>
      </c>
      <c r="D34" s="24">
        <v>120</v>
      </c>
      <c r="E34" s="25"/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35.200000000000003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30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10500</v>
      </c>
      <c r="B1">
        <f>Hoja1!B16*Hoja1!C16</f>
        <v>10500</v>
      </c>
      <c r="C1">
        <f>Hoja1!B16*Hoja1!D16</f>
        <v>10570</v>
      </c>
      <c r="D1">
        <f>Hoja1!B16*Hoja1!D16</f>
        <v>10570</v>
      </c>
    </row>
    <row r="2" spans="1:4" x14ac:dyDescent="0.2">
      <c r="A2">
        <f>Hoja1!B17*Hoja1!C17</f>
        <v>1500</v>
      </c>
      <c r="B2">
        <f>Hoja1!B17*Hoja1!C17</f>
        <v>1500</v>
      </c>
      <c r="C2">
        <f>Hoja1!B17*Hoja1!D17</f>
        <v>1510</v>
      </c>
      <c r="D2">
        <f>Hoja1!B17*Hoja1!D17</f>
        <v>1510</v>
      </c>
    </row>
    <row r="3" spans="1:4" x14ac:dyDescent="0.2">
      <c r="A3">
        <f>Hoja1!B18*Hoja1!C18</f>
        <v>12080</v>
      </c>
      <c r="B3">
        <f>Hoja1!B18*Hoja1!C18</f>
        <v>12080</v>
      </c>
      <c r="C3">
        <f>Hoja1!B18*Hoja1!D18</f>
        <v>2400</v>
      </c>
      <c r="D3">
        <f>Hoja1!B18*Hoja1!D18</f>
        <v>2400</v>
      </c>
    </row>
    <row r="4" spans="1:4" x14ac:dyDescent="0.2">
      <c r="A4">
        <f>Hoja1!B19*Hoja1!C19</f>
        <v>2408</v>
      </c>
      <c r="B4">
        <f>Hoja1!B19*Hoja1!C19</f>
        <v>2408</v>
      </c>
      <c r="C4">
        <f>Hoja1!B19*Hoja1!D19</f>
        <v>453</v>
      </c>
      <c r="D4">
        <f>Hoja1!B19*Hoja1!D19</f>
        <v>453</v>
      </c>
    </row>
    <row r="5" spans="1:4" x14ac:dyDescent="0.2">
      <c r="A5">
        <f>Hoja1!B20*Hoja1!C20</f>
        <v>876</v>
      </c>
      <c r="B5">
        <f>Hoja1!B20*Hoja1!C20</f>
        <v>876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2352</v>
      </c>
      <c r="B6">
        <f>Hoja1!B21*Hoja1!C21</f>
        <v>2352</v>
      </c>
      <c r="C6">
        <f>Hoja1!B21*Hoja1!D21</f>
        <v>1324</v>
      </c>
      <c r="D6">
        <f>Hoja1!B21*Hoja1!D21</f>
        <v>1324</v>
      </c>
    </row>
    <row r="7" spans="1:4" x14ac:dyDescent="0.2">
      <c r="A7">
        <f>Hoja1!B22*Hoja1!C22</f>
        <v>2368</v>
      </c>
      <c r="B7">
        <f>Hoja1!B22*Hoja1!C22</f>
        <v>2368</v>
      </c>
      <c r="C7">
        <f>Hoja1!B22*Hoja1!D22</f>
        <v>70</v>
      </c>
      <c r="D7">
        <f>Hoja1!B22*Hoja1!D22</f>
        <v>70</v>
      </c>
    </row>
    <row r="8" spans="1:4" x14ac:dyDescent="0.2">
      <c r="A8">
        <f>Hoja1!B23*Hoja1!C23</f>
        <v>2656</v>
      </c>
      <c r="B8">
        <f>Hoja1!B23*Hoja1!C23</f>
        <v>2656</v>
      </c>
      <c r="C8">
        <f>Hoja1!B23*Hoja1!D23</f>
        <v>3440</v>
      </c>
      <c r="D8">
        <f>Hoja1!B23*Hoja1!D23</f>
        <v>3440</v>
      </c>
    </row>
    <row r="9" spans="1:4" x14ac:dyDescent="0.2">
      <c r="A9">
        <f>Hoja1!B24*Hoja1!C24</f>
        <v>2368</v>
      </c>
      <c r="B9">
        <f>Hoja1!B24*Hoja1!C24</f>
        <v>2368</v>
      </c>
      <c r="C9">
        <f>Hoja1!B24*Hoja1!D24</f>
        <v>1720</v>
      </c>
      <c r="D9">
        <f>Hoja1!B24*Hoja1!D24</f>
        <v>1720</v>
      </c>
    </row>
    <row r="10" spans="1:4" x14ac:dyDescent="0.2">
      <c r="A10">
        <f>Hoja1!B25*Hoja1!C25</f>
        <v>2368</v>
      </c>
      <c r="B10">
        <f>Hoja1!B25*Hoja1!C25</f>
        <v>2368</v>
      </c>
      <c r="C10">
        <f>Hoja1!B25*Hoja1!D25</f>
        <v>1608</v>
      </c>
      <c r="D10">
        <f>Hoja1!B25*Hoja1!D25</f>
        <v>1608</v>
      </c>
    </row>
    <row r="11" spans="1:4" x14ac:dyDescent="0.2">
      <c r="A11">
        <f>Hoja1!B26*Hoja1!C26</f>
        <v>4232</v>
      </c>
      <c r="B11">
        <f>Hoja1!B26*Hoja1!C26</f>
        <v>4232</v>
      </c>
      <c r="C11">
        <f>Hoja1!B26*Hoja1!D26</f>
        <v>1600</v>
      </c>
      <c r="D11">
        <f>Hoja1!B26*Hoja1!D26</f>
        <v>1600</v>
      </c>
    </row>
    <row r="12" spans="1:4" x14ac:dyDescent="0.2">
      <c r="A12">
        <f>Hoja1!B27*Hoja1!C27</f>
        <v>2912</v>
      </c>
      <c r="B12">
        <f>Hoja1!B27*Hoja1!C27</f>
        <v>2912</v>
      </c>
      <c r="C12">
        <f>Hoja1!B27*Hoja1!D27</f>
        <v>1600</v>
      </c>
      <c r="D12">
        <f>Hoja1!B27*Hoja1!D27</f>
        <v>1600</v>
      </c>
    </row>
    <row r="13" spans="1:4" x14ac:dyDescent="0.2">
      <c r="A13">
        <f>Hoja1!B28*Hoja1!C28</f>
        <v>1400</v>
      </c>
      <c r="B13">
        <f>Hoja1!B28*Hoja1!C28</f>
        <v>1400</v>
      </c>
      <c r="C13">
        <f>Hoja1!B28*Hoja1!D28</f>
        <v>280</v>
      </c>
      <c r="D13">
        <f>Hoja1!B28*Hoja1!D28</f>
        <v>280</v>
      </c>
    </row>
    <row r="14" spans="1:4" x14ac:dyDescent="0.2">
      <c r="A14">
        <f>Hoja1!B29*Hoja1!C29</f>
        <v>2368</v>
      </c>
      <c r="B14">
        <f>Hoja1!B29*Hoja1!C29</f>
        <v>2368</v>
      </c>
      <c r="C14">
        <f>Hoja1!B29*Hoja1!D29</f>
        <v>70</v>
      </c>
      <c r="D14">
        <f>Hoja1!B29*Hoja1!D29</f>
        <v>70</v>
      </c>
    </row>
    <row r="15" spans="1:4" x14ac:dyDescent="0.2">
      <c r="A15">
        <f>Hoja1!B30*Hoja1!C30</f>
        <v>3312</v>
      </c>
      <c r="B15">
        <f>Hoja1!B30*Hoja1!C30</f>
        <v>3312</v>
      </c>
      <c r="C15">
        <f>Hoja1!B30*Hoja1!D30</f>
        <v>1520</v>
      </c>
      <c r="D15">
        <f>Hoja1!B30*Hoja1!D30</f>
        <v>1520</v>
      </c>
    </row>
    <row r="16" spans="1:4" x14ac:dyDescent="0.2">
      <c r="A16">
        <f>Hoja1!B31*Hoja1!C31</f>
        <v>6256</v>
      </c>
      <c r="B16">
        <f>Hoja1!B31*Hoja1!C31</f>
        <v>6256</v>
      </c>
      <c r="C16">
        <f>Hoja1!B31*Hoja1!D31</f>
        <v>280</v>
      </c>
      <c r="D16">
        <f>Hoja1!B31*Hoja1!D31</f>
        <v>280</v>
      </c>
    </row>
    <row r="17" spans="1:4" x14ac:dyDescent="0.2">
      <c r="A17">
        <f>Hoja1!B32*Hoja1!C32</f>
        <v>6400</v>
      </c>
      <c r="B17">
        <f>Hoja1!B32*Hoja1!C32</f>
        <v>6400</v>
      </c>
      <c r="C17">
        <f>Hoja1!B32*Hoja1!D32</f>
        <v>600</v>
      </c>
      <c r="D17">
        <f>Hoja1!B32*Hoja1!D32</f>
        <v>600</v>
      </c>
    </row>
    <row r="18" spans="1:4" x14ac:dyDescent="0.2">
      <c r="A18">
        <f>Hoja1!B33*Hoja1!C33</f>
        <v>2672</v>
      </c>
      <c r="B18">
        <f>Hoja1!B33*Hoja1!C33</f>
        <v>2672</v>
      </c>
      <c r="C18">
        <f>Hoja1!B33*Hoja1!D33</f>
        <v>600</v>
      </c>
      <c r="D18">
        <f>Hoja1!B33*Hoja1!D33</f>
        <v>600</v>
      </c>
    </row>
    <row r="19" spans="1:4" x14ac:dyDescent="0.2">
      <c r="A19">
        <f>Hoja1!B34*Hoja1!C34</f>
        <v>17600</v>
      </c>
      <c r="B19">
        <f>Hoja1!B34*Hoja1!C34</f>
        <v>17600</v>
      </c>
      <c r="C19">
        <f>Hoja1!B34*Hoja1!D34</f>
        <v>1920</v>
      </c>
      <c r="D19">
        <f>Hoja1!B34*Hoja1!D34</f>
        <v>1920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2025-08-06T22:56:32Z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