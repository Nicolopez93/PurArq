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ladys\"/>
    </mc:Choice>
  </mc:AlternateContent>
  <xr:revisionPtr revIDLastSave="0" documentId="13_ncr:1_{D4C3570B-75EC-4BD7-9BD9-48F6AC532A2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<sst xmlns="http://schemas.openxmlformats.org/spreadsheetml/2006/main" count="60" uniqueCount="34">
  <si>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</si>
  <si>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</si>
  <si>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</si>
  <si>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</si>
  <si>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</si>
  <si>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</si>
  <si>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</si>
  <si>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</si>
  <si>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</si>
  <si>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</si>
  <si>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</si>
  <si>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</si>
  <si>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</si>
  <si>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</si>
  <si>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</si>
  <si>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</si>
  <si>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</si>
  <si>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</si>
  <si>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</si>
  <si>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</si>
  <si>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</si>
  <si>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</si>
  <si>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</si>
  <si>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</si>
  <si>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</si>
  <si>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</si>
  <si>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</si>
  <si>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</si>
  <si>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</si>
  <si>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</t>
  </si>
  <si>
    <t>estante</t>
  </si>
  <si>
    <t>puertas</t>
  </si>
  <si>
    <t>lat infe</t>
  </si>
  <si>
    <t>lat supe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</si>
</sst>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1" zoomScale="130" zoomScaleNormal="130" workbookViewId="0">
      <selection activeCell="C28" sqref="C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497.52600000000001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49.862400000000008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1</v>
      </c>
      <c r="C16" s="23">
        <v>2420</v>
      </c>
      <c r="D16" s="24">
        <v>1350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7.54</v>
      </c>
      <c r="Q16">
        <v>1</v>
      </c>
      <c r="R16" s="34">
        <f>((SUMIF(G16:G1016,D3,Hoja3!A1:A1001)+SUMIF(H16:H1016,D3,Hoja3!B1:B1001)+SUMIF(I16:I1016,D3,Hoja3!C1:C1001)+SUMIF(J16:J1016,D3,Hoja3!D1:D1001))/1000)*1.05</f>
        <v>49.862400000000001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2420</v>
      </c>
      <c r="D17" s="24">
        <v>1000</v>
      </c>
      <c r="E17" s="25" t="s">
        <v>29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6.84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720</v>
      </c>
      <c r="D18" s="24">
        <v>320</v>
      </c>
      <c r="E18" s="25" t="s">
        <v>29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2.72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600</v>
      </c>
      <c r="D19" s="24">
        <v>320</v>
      </c>
      <c r="E19" s="25" t="s">
        <v>29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2.48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684</v>
      </c>
      <c r="D20" s="24">
        <v>320</v>
      </c>
      <c r="E20" s="25" t="s">
        <v>30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2.7360000000000002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966</v>
      </c>
      <c r="D21" s="24">
        <v>356</v>
      </c>
      <c r="E21" s="25" t="s">
        <v>31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5.2880000000000003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4</v>
      </c>
      <c r="C22" s="23">
        <v>934</v>
      </c>
      <c r="D22" s="24">
        <v>320</v>
      </c>
      <c r="E22" s="25" t="s">
        <v>32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7.4720000000000004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784</v>
      </c>
      <c r="D23" s="24">
        <v>320</v>
      </c>
      <c r="E23" s="25" t="s">
        <v>33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3.1360000000000001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966</v>
      </c>
      <c r="D24" s="24">
        <v>316</v>
      </c>
      <c r="E24" s="25" t="s">
        <v>31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2.5640000000000001</v>
      </c>
      <c r="R24" s="38">
        <f>SUM(R16:R23)</f>
        <v>49.862400000000001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816</v>
      </c>
      <c r="D25" s="24">
        <v>296</v>
      </c>
      <c r="E25" s="25" t="s">
        <v>31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4.4480000000000004</v>
      </c>
    </row>
    <row r="26" spans="1:19" x14ac:dyDescent="0.2">
      <c r="A26" s="21" t="s">
        <v>26</v>
      </c>
      <c r="B26" s="22">
        <v>1</v>
      </c>
      <c r="C26" s="23">
        <v>564</v>
      </c>
      <c r="D26" s="24">
        <v>320</v>
      </c>
      <c r="E26" s="25" t="s">
        <v>30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1.1279999999999999</v>
      </c>
    </row>
    <row r="27" spans="1:19" x14ac:dyDescent="0.2">
      <c r="A27" s="21" t="s">
        <v>26</v>
      </c>
      <c r="B27" s="22">
        <v>2</v>
      </c>
      <c r="C27" s="23">
        <v>284</v>
      </c>
      <c r="D27" s="24">
        <v>320</v>
      </c>
      <c r="E27" s="25" t="s">
        <v>30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1.1359999999999999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2420</v>
      </c>
      <c r="B1">
        <f>Hoja1!B16*Hoja1!C16</f>
        <v>2420</v>
      </c>
      <c r="C1">
        <f>Hoja1!B16*Hoja1!D16</f>
        <v>1350</v>
      </c>
      <c r="D1">
        <f>Hoja1!B16*Hoja1!D16</f>
        <v>1350</v>
      </c>
    </row>
    <row r="2" spans="1:4" x14ac:dyDescent="0.2">
      <c r="A2">
        <f>Hoja1!B17*Hoja1!C17</f>
        <v>2420</v>
      </c>
      <c r="B2">
        <f>Hoja1!B17*Hoja1!C17</f>
        <v>2420</v>
      </c>
      <c r="C2">
        <f>Hoja1!B17*Hoja1!D17</f>
        <v>1000</v>
      </c>
      <c r="D2">
        <f>Hoja1!B17*Hoja1!D17</f>
        <v>1000</v>
      </c>
    </row>
    <row r="3" spans="1:4" x14ac:dyDescent="0.2">
      <c r="A3">
        <f>Hoja1!B18*Hoja1!C18</f>
        <v>1440</v>
      </c>
      <c r="B3">
        <f>Hoja1!B18*Hoja1!C18</f>
        <v>1440</v>
      </c>
      <c r="C3">
        <f>Hoja1!B18*Hoja1!D18</f>
        <v>640</v>
      </c>
      <c r="D3">
        <f>Hoja1!B18*Hoja1!D18</f>
        <v>640</v>
      </c>
    </row>
    <row r="4" spans="1:4" x14ac:dyDescent="0.2">
      <c r="A4">
        <f>Hoja1!B19*Hoja1!C19</f>
        <v>1200</v>
      </c>
      <c r="B4">
        <f>Hoja1!B19*Hoja1!C19</f>
        <v>1200</v>
      </c>
      <c r="C4">
        <f>Hoja1!B19*Hoja1!D19</f>
        <v>640</v>
      </c>
      <c r="D4">
        <f>Hoja1!B19*Hoja1!D19</f>
        <v>640</v>
      </c>
    </row>
    <row r="5" spans="1:4" x14ac:dyDescent="0.2">
      <c r="A5">
        <f>Hoja1!B20*Hoja1!C20</f>
        <v>1368</v>
      </c>
      <c r="B5">
        <f>Hoja1!B20*Hoja1!C20</f>
        <v>1368</v>
      </c>
      <c r="C5">
        <f>Hoja1!B20*Hoja1!D20</f>
        <v>640</v>
      </c>
      <c r="D5">
        <f>Hoja1!B20*Hoja1!D20</f>
        <v>640</v>
      </c>
    </row>
    <row r="6" spans="1:4" x14ac:dyDescent="0.2">
      <c r="A6">
        <f>Hoja1!B21*Hoja1!C21</f>
        <v>1932</v>
      </c>
      <c r="B6">
        <f>Hoja1!B21*Hoja1!C21</f>
        <v>1932</v>
      </c>
      <c r="C6">
        <f>Hoja1!B21*Hoja1!D21</f>
        <v>712</v>
      </c>
      <c r="D6">
        <f>Hoja1!B21*Hoja1!D21</f>
        <v>712</v>
      </c>
    </row>
    <row r="7" spans="1:4" x14ac:dyDescent="0.2">
      <c r="A7">
        <f>Hoja1!B22*Hoja1!C22</f>
        <v>3736</v>
      </c>
      <c r="B7">
        <f>Hoja1!B22*Hoja1!C22</f>
        <v>3736</v>
      </c>
      <c r="C7">
        <f>Hoja1!B22*Hoja1!D22</f>
        <v>1280</v>
      </c>
      <c r="D7">
        <f>Hoja1!B22*Hoja1!D22</f>
        <v>1280</v>
      </c>
    </row>
    <row r="8" spans="1:4" x14ac:dyDescent="0.2">
      <c r="A8">
        <f>Hoja1!B23*Hoja1!C23</f>
        <v>1568</v>
      </c>
      <c r="B8">
        <f>Hoja1!B23*Hoja1!C23</f>
        <v>1568</v>
      </c>
      <c r="C8">
        <f>Hoja1!B23*Hoja1!D23</f>
        <v>640</v>
      </c>
      <c r="D8">
        <f>Hoja1!B23*Hoja1!D23</f>
        <v>640</v>
      </c>
    </row>
    <row r="9" spans="1:4" x14ac:dyDescent="0.2">
      <c r="A9">
        <f>Hoja1!B24*Hoja1!C24</f>
        <v>966</v>
      </c>
      <c r="B9">
        <f>Hoja1!B24*Hoja1!C24</f>
        <v>966</v>
      </c>
      <c r="C9">
        <f>Hoja1!B24*Hoja1!D24</f>
        <v>316</v>
      </c>
      <c r="D9">
        <f>Hoja1!B24*Hoja1!D24</f>
        <v>316</v>
      </c>
    </row>
    <row r="10" spans="1:4" x14ac:dyDescent="0.2">
      <c r="A10">
        <f>Hoja1!B25*Hoja1!C25</f>
        <v>1632</v>
      </c>
      <c r="B10">
        <f>Hoja1!B25*Hoja1!C25</f>
        <v>1632</v>
      </c>
      <c r="C10">
        <f>Hoja1!B25*Hoja1!D25</f>
        <v>592</v>
      </c>
      <c r="D10">
        <f>Hoja1!B25*Hoja1!D25</f>
        <v>592</v>
      </c>
    </row>
    <row r="11" spans="1:4" x14ac:dyDescent="0.2">
      <c r="A11">
        <f>Hoja1!B26*Hoja1!C26</f>
        <v>564</v>
      </c>
      <c r="B11">
        <f>Hoja1!B26*Hoja1!C26</f>
        <v>564</v>
      </c>
      <c r="C11">
        <f>Hoja1!B26*Hoja1!D26</f>
        <v>320</v>
      </c>
      <c r="D11">
        <f>Hoja1!B26*Hoja1!D26</f>
        <v>320</v>
      </c>
    </row>
    <row r="12" spans="1:4" x14ac:dyDescent="0.2">
      <c r="A12">
        <f>Hoja1!B27*Hoja1!C27</f>
        <v>568</v>
      </c>
      <c r="B12">
        <f>Hoja1!B27*Hoja1!C27</f>
        <v>568</v>
      </c>
      <c r="C12">
        <f>Hoja1!B27*Hoja1!D27</f>
        <v>640</v>
      </c>
      <c r="D12">
        <f>Hoja1!B27*Hoja1!D27</f>
        <v>640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2025-04-06T17:48:39Z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