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gaston stelkerberger\"/>
    </mc:Choice>
  </mc:AlternateContent>
  <xr:revisionPtr revIDLastSave="0" documentId="13_ncr:1_{9E46FD2A-0062-485E-8EF5-45B958C1801B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<sst xmlns="http://schemas.openxmlformats.org/spreadsheetml/2006/main" count="40" uniqueCount="32">
  <si>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</si>
  <si>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</si>
  <si>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</si>
  <si>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</si>
  <si>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</si>
  <si>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</si>
  <si>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</si>
  <si>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</si>
  <si>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</si>
  <si>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</si>
  <si>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</si>
  <si>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</si>
  <si>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</si>
  <si>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</si>
  <si>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</si>
  <si>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</si>
  <si>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</si>
  <si>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</si>
  <si>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</si>
  <si>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</si>
  <si>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</si>
  <si>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</si>
  <si>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</si>
  <si>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</si>
  <si>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</si>
  <si>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</si>
  <si>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</si>
  <si>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040 Scotch</t>
  </si>
  <si>
    <t>base</t>
  </si>
  <si>
    <t>lateral</t>
  </si>
  <si>
    <t>estante</t>
  </si>
  <si>
    <t>soportes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</si>
</sst>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1" zoomScale="130" zoomScaleNormal="130" workbookViewId="0">
      <selection activeCell="B19" sqref="B19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27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427.512</v>
      </c>
      <c r="F3" s="47">
        <v>9134116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140.74199999999999</v>
      </c>
      <c r="R15" s="19" t="s">
        <v>24</v>
      </c>
      <c r="S15" s="20" t="s">
        <v>25</v>
      </c>
    </row>
    <row r="16" spans="1:20" ht="15.75" x14ac:dyDescent="0.25">
      <c r="A16" s="21">
        <v>9134116</v>
      </c>
      <c r="B16" s="22">
        <v>12</v>
      </c>
      <c r="C16" s="23">
        <v>800</v>
      </c>
      <c r="D16" s="24">
        <v>350</v>
      </c>
      <c r="E16" s="25" t="s">
        <v>28</v>
      </c>
      <c r="F16" s="26"/>
      <c r="G16" s="27">
        <v>1</v>
      </c>
      <c r="H16" s="28">
        <v>1</v>
      </c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Scotch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Scotch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Scotch</v>
      </c>
      <c r="O16" s="33">
        <f t="shared" ref="O16:O79" si="0">(IF(G16&gt;0,C16,0)+IF(H16&gt;0,C16,0)+IF(I16&gt;0,D16,0)+IF(J16&gt;0,D16,0))*B16/1000</f>
        <v>27.6</v>
      </c>
      <c r="Q16">
        <v>1</v>
      </c>
      <c r="R16" s="34">
        <f>((SUMIF(G16:G1016,D3,Hoja3!A1:A1001)+SUMIF(H16:H1016,D3,Hoja3!B1:B1001)+SUMIF(I16:I1016,D3,Hoja3!C1:C1001)+SUMIF(J16:J1016,D3,Hoja3!D1:D1001))/1000)*1.05</f>
        <v>140.74199999999999</v>
      </c>
      <c r="S16" s="35" t="str">
        <f t="shared" ref="S16:S23" si="1">A3</f>
        <v>040 Scotch</v>
      </c>
    </row>
    <row r="17" spans="1:19" ht="15.75" x14ac:dyDescent="0.25">
      <c r="A17" s="21">
        <v>9134116</v>
      </c>
      <c r="B17" s="22">
        <v>12</v>
      </c>
      <c r="C17" s="23">
        <v>1962</v>
      </c>
      <c r="D17" s="24">
        <v>350</v>
      </c>
      <c r="E17" s="25" t="s">
        <v>29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Scotch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47.088000000000001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9134116</v>
      </c>
      <c r="B18" s="22">
        <v>24</v>
      </c>
      <c r="C18" s="23">
        <v>764</v>
      </c>
      <c r="D18" s="24">
        <v>350</v>
      </c>
      <c r="E18" s="25" t="s">
        <v>30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Scotch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36.671999999999997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9134116</v>
      </c>
      <c r="B19" s="22">
        <v>30</v>
      </c>
      <c r="C19" s="23">
        <v>378</v>
      </c>
      <c r="D19" s="24">
        <v>350</v>
      </c>
      <c r="E19" s="25" t="s">
        <v>31</v>
      </c>
      <c r="F19" s="25"/>
      <c r="G19" s="36">
        <v>1</v>
      </c>
      <c r="H19" s="36">
        <v>1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Scotch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22.68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/>
      <c r="B20" s="22"/>
      <c r="C20" s="23"/>
      <c r="D20" s="24"/>
      <c r="E20" s="25"/>
      <c r="F20" s="25"/>
      <c r="G20" s="36"/>
      <c r="H20" s="36"/>
      <c r="I20" s="36"/>
      <c r="J20" s="36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/>
      <c r="B21" s="22"/>
      <c r="C21" s="23"/>
      <c r="D21" s="24"/>
      <c r="E21" s="25"/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/>
      <c r="B22" s="22"/>
      <c r="C22" s="23"/>
      <c r="D22" s="24"/>
      <c r="E22" s="25"/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140.74199999999999</v>
      </c>
      <c r="S24" s="39" t="s">
        <v>26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9600</v>
      </c>
      <c r="B1">
        <f>Hoja1!B16*Hoja1!C16</f>
        <v>9600</v>
      </c>
      <c r="C1">
        <f>Hoja1!B16*Hoja1!D16</f>
        <v>4200</v>
      </c>
      <c r="D1">
        <f>Hoja1!B16*Hoja1!D16</f>
        <v>4200</v>
      </c>
    </row>
    <row r="2" spans="1:4" x14ac:dyDescent="0.2">
      <c r="A2">
        <f>Hoja1!B17*Hoja1!C17</f>
        <v>23544</v>
      </c>
      <c r="B2">
        <f>Hoja1!B17*Hoja1!C17</f>
        <v>23544</v>
      </c>
      <c r="C2">
        <f>Hoja1!B17*Hoja1!D17</f>
        <v>4200</v>
      </c>
      <c r="D2">
        <f>Hoja1!B17*Hoja1!D17</f>
        <v>4200</v>
      </c>
    </row>
    <row r="3" spans="1:4" x14ac:dyDescent="0.2">
      <c r="A3">
        <f>Hoja1!B18*Hoja1!C18</f>
        <v>18336</v>
      </c>
      <c r="B3">
        <f>Hoja1!B18*Hoja1!C18</f>
        <v>18336</v>
      </c>
      <c r="C3">
        <f>Hoja1!B18*Hoja1!D18</f>
        <v>8400</v>
      </c>
      <c r="D3">
        <f>Hoja1!B18*Hoja1!D18</f>
        <v>8400</v>
      </c>
    </row>
    <row r="4" spans="1:4" x14ac:dyDescent="0.2">
      <c r="A4">
        <f>Hoja1!B19*Hoja1!C19</f>
        <v>11340</v>
      </c>
      <c r="B4">
        <f>Hoja1!B19*Hoja1!C19</f>
        <v>11340</v>
      </c>
      <c r="C4">
        <f>Hoja1!B19*Hoja1!D19</f>
        <v>10500</v>
      </c>
      <c r="D4">
        <f>Hoja1!B19*Hoja1!D19</f>
        <v>10500</v>
      </c>
    </row>
    <row r="5" spans="1:4" x14ac:dyDescent="0.2">
      <c r="A5">
        <f>Hoja1!B20*Hoja1!C20</f>
        <v>0</v>
      </c>
      <c r="B5">
        <f>Hoja1!B20*Hoja1!C20</f>
        <v>0</v>
      </c>
      <c r="C5">
        <f>Hoja1!B20*Hoja1!D20</f>
        <v>0</v>
      </c>
      <c r="D5">
        <f>Hoja1!B20*Hoja1!D20</f>
        <v>0</v>
      </c>
    </row>
    <row r="6" spans="1:4" x14ac:dyDescent="0.2">
      <c r="A6">
        <f>Hoja1!B21*Hoja1!C21</f>
        <v>0</v>
      </c>
      <c r="B6">
        <f>Hoja1!B21*Hoja1!C21</f>
        <v>0</v>
      </c>
      <c r="C6">
        <f>Hoja1!B21*Hoja1!D21</f>
        <v>0</v>
      </c>
      <c r="D6">
        <f>Hoja1!B21*Hoja1!D21</f>
        <v>0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2025-08-15T04:19:19Z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