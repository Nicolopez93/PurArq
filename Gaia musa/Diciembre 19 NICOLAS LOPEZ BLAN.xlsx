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Gaia musa\"/>
    </mc:Choice>
  </mc:AlternateContent>
  <xr:revisionPtr revIDLastSave="0" documentId="13_ncr:1_{ABE621C9-48BE-4C95-BFDF-AA2BEB3C2020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<sst xmlns="http://schemas.openxmlformats.org/spreadsheetml/2006/main" count="50" uniqueCount="34">
  <si>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</si>
  <si>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</si>
  <si>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</si>
  <si>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</si>
  <si>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</si>
  <si>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</si>
  <si>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</si>
  <si>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</si>
  <si>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</si>
  <si>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</si>
  <si>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</si>
  <si>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</si>
  <si>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</si>
  <si>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</si>
  <si>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</si>
  <si>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</si>
  <si>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</si>
  <si>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</si>
  <si>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</si>
  <si>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</si>
  <si>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</si>
  <si>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</si>
  <si>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</si>
  <si>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</si>
  <si>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</si>
  <si>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</si>
  <si>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</si>
  <si>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</si>
  <si>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</si>
  <si>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 xml:space="preserve">base </t>
  </si>
  <si>
    <t xml:space="preserve">lat </t>
  </si>
  <si>
    <t>lat cajon</t>
  </si>
  <si>
    <t>tapa cajon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</si>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</sst>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4" zoomScale="130" zoomScaleNormal="130" workbookViewId="0">
      <selection activeCell="B16" sqref="B16:D22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126.57599999999999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32.516400000000004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8</v>
      </c>
      <c r="C16" s="23">
        <v>700</v>
      </c>
      <c r="D16" s="24">
        <v>450</v>
      </c>
      <c r="E16" s="25" t="s">
        <v>29</v>
      </c>
      <c r="F16" s="26"/>
      <c r="G16" s="27">
        <v>1</v>
      </c>
      <c r="H16" s="28"/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5.6</v>
      </c>
      <c r="Q16">
        <v>1</v>
      </c>
      <c r="R16" s="34">
        <f>((SUMIF(G16:G1016,D3,Hoja3!A1:A1001)+SUMIF(H16:H1016,D3,Hoja3!B1:B1001)+SUMIF(I16:I1016,D3,Hoja3!C1:C1001)+SUMIF(J16:J1016,D3,Hoja3!D1:D1001))/1000)*1.05</f>
        <v>32.516400000000004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8</v>
      </c>
      <c r="C17" s="23">
        <v>284</v>
      </c>
      <c r="D17" s="24">
        <v>450</v>
      </c>
      <c r="E17" s="25" t="s">
        <v>30</v>
      </c>
      <c r="F17" s="25"/>
      <c r="G17" s="36">
        <v>1</v>
      </c>
      <c r="H17" s="36"/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2.2719999999999998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8</v>
      </c>
      <c r="C18" s="23">
        <v>647</v>
      </c>
      <c r="D18" s="24">
        <v>250</v>
      </c>
      <c r="E18" s="25" t="s">
        <v>31</v>
      </c>
      <c r="F18" s="25"/>
      <c r="G18" s="36">
        <v>1</v>
      </c>
      <c r="H18" s="36"/>
      <c r="I18" s="36">
        <v>1</v>
      </c>
      <c r="J18" s="36">
        <v>1</v>
      </c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8" s="33">
        <f t="shared" si="0"/>
        <v>9.1760000000000002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8</v>
      </c>
      <c r="C19" s="23">
        <v>364</v>
      </c>
      <c r="D19" s="24">
        <v>250</v>
      </c>
      <c r="E19" s="25" t="s">
        <v>31</v>
      </c>
      <c r="F19" s="25"/>
      <c r="G19" s="36">
        <v>1</v>
      </c>
      <c r="H19" s="36">
        <v>1</v>
      </c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5.8239999999999998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4</v>
      </c>
      <c r="C20" s="23">
        <v>696</v>
      </c>
      <c r="D20" s="24">
        <v>316</v>
      </c>
      <c r="E20" s="25" t="s">
        <v>32</v>
      </c>
      <c r="F20" s="25"/>
      <c r="G20" s="36">
        <v>1</v>
      </c>
      <c r="H20" s="36">
        <v>1</v>
      </c>
      <c r="I20" s="36">
        <v>1</v>
      </c>
      <c r="J20" s="36">
        <v>1</v>
      </c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0" s="33">
        <f t="shared" si="0"/>
        <v>8.0960000000000001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4</v>
      </c>
      <c r="C21" s="23">
        <v>1400</v>
      </c>
      <c r="D21" s="24">
        <v>70</v>
      </c>
      <c r="E21" s="25" t="s">
        <v>33</v>
      </c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26</v>
      </c>
      <c r="B22" s="22">
        <v>4</v>
      </c>
      <c r="C22" s="23">
        <v>378</v>
      </c>
      <c r="D22" s="24">
        <v>70</v>
      </c>
      <c r="E22" s="25" t="s">
        <v>33</v>
      </c>
      <c r="F22" s="25"/>
      <c r="G22" s="36"/>
      <c r="H22" s="36"/>
      <c r="I22" s="36"/>
      <c r="J22" s="36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/>
      <c r="B23" s="22"/>
      <c r="C23" s="23"/>
      <c r="D23" s="24"/>
      <c r="E23" s="25"/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32.516400000000004</v>
      </c>
      <c r="S24" s="39" t="s">
        <v>27</v>
      </c>
    </row>
    <row r="25" spans="1:19" x14ac:dyDescent="0.2">
      <c r="A25" s="21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5600</v>
      </c>
      <c r="B1">
        <f>Hoja1!B16*Hoja1!C16</f>
        <v>5600</v>
      </c>
      <c r="C1">
        <f>Hoja1!B16*Hoja1!D16</f>
        <v>3600</v>
      </c>
      <c r="D1">
        <f>Hoja1!B16*Hoja1!D16</f>
        <v>3600</v>
      </c>
    </row>
    <row r="2" spans="1:4" x14ac:dyDescent="0.2">
      <c r="A2">
        <f>Hoja1!B17*Hoja1!C17</f>
        <v>2272</v>
      </c>
      <c r="B2">
        <f>Hoja1!B17*Hoja1!C17</f>
        <v>2272</v>
      </c>
      <c r="C2">
        <f>Hoja1!B17*Hoja1!D17</f>
        <v>3600</v>
      </c>
      <c r="D2">
        <f>Hoja1!B17*Hoja1!D17</f>
        <v>3600</v>
      </c>
    </row>
    <row r="3" spans="1:4" x14ac:dyDescent="0.2">
      <c r="A3">
        <f>Hoja1!B18*Hoja1!C18</f>
        <v>5176</v>
      </c>
      <c r="B3">
        <f>Hoja1!B18*Hoja1!C18</f>
        <v>5176</v>
      </c>
      <c r="C3">
        <f>Hoja1!B18*Hoja1!D18</f>
        <v>2000</v>
      </c>
      <c r="D3">
        <f>Hoja1!B18*Hoja1!D18</f>
        <v>2000</v>
      </c>
    </row>
    <row r="4" spans="1:4" x14ac:dyDescent="0.2">
      <c r="A4">
        <f>Hoja1!B19*Hoja1!C19</f>
        <v>2912</v>
      </c>
      <c r="B4">
        <f>Hoja1!B19*Hoja1!C19</f>
        <v>2912</v>
      </c>
      <c r="C4">
        <f>Hoja1!B19*Hoja1!D19</f>
        <v>2000</v>
      </c>
      <c r="D4">
        <f>Hoja1!B19*Hoja1!D19</f>
        <v>2000</v>
      </c>
    </row>
    <row r="5" spans="1:4" x14ac:dyDescent="0.2">
      <c r="A5">
        <f>Hoja1!B20*Hoja1!C20</f>
        <v>2784</v>
      </c>
      <c r="B5">
        <f>Hoja1!B20*Hoja1!C20</f>
        <v>2784</v>
      </c>
      <c r="C5">
        <f>Hoja1!B20*Hoja1!D20</f>
        <v>1264</v>
      </c>
      <c r="D5">
        <f>Hoja1!B20*Hoja1!D20</f>
        <v>1264</v>
      </c>
    </row>
    <row r="6" spans="1:4" x14ac:dyDescent="0.2">
      <c r="A6">
        <f>Hoja1!B21*Hoja1!C21</f>
        <v>5600</v>
      </c>
      <c r="B6">
        <f>Hoja1!B21*Hoja1!C21</f>
        <v>5600</v>
      </c>
      <c r="C6">
        <f>Hoja1!B21*Hoja1!D21</f>
        <v>280</v>
      </c>
      <c r="D6">
        <f>Hoja1!B21*Hoja1!D21</f>
        <v>280</v>
      </c>
    </row>
    <row r="7" spans="1:4" x14ac:dyDescent="0.2">
      <c r="A7">
        <f>Hoja1!B22*Hoja1!C22</f>
        <v>1512</v>
      </c>
      <c r="B7">
        <f>Hoja1!B22*Hoja1!C22</f>
        <v>1512</v>
      </c>
      <c r="C7">
        <f>Hoja1!B22*Hoja1!D22</f>
        <v>280</v>
      </c>
      <c r="D7">
        <f>Hoja1!B22*Hoja1!D22</f>
        <v>280</v>
      </c>
    </row>
    <row r="8" spans="1:4" x14ac:dyDescent="0.2">
      <c r="A8">
        <f>Hoja1!B23*Hoja1!C23</f>
        <v>0</v>
      </c>
      <c r="B8">
        <f>Hoja1!B23*Hoja1!C23</f>
        <v>0</v>
      </c>
      <c r="C8">
        <f>Hoja1!B23*Hoja1!D23</f>
        <v>0</v>
      </c>
      <c r="D8">
        <f>Hoja1!B23*Hoja1!D23</f>
        <v>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2024-12-19T18:33:52Z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