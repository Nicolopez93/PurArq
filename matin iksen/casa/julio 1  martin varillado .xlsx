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matin iksen\casa\"/>
    </mc:Choice>
  </mc:AlternateContent>
  <xr:revisionPtr revIDLastSave="0" documentId="13_ncr:1_{C628295E-7673-4761-A34E-9CAE1B2BB8FA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<sst xmlns="http://schemas.openxmlformats.org/spreadsheetml/2006/main" count="43" uniqueCount="32">
  <si>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</si>
  <si>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</si>
  <si>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</si>
  <si>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</si>
  <si>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</si>
  <si>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</si>
  <si>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</si>
  <si>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</si>
  <si>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</si>
  <si>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</si>
  <si>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</si>
  <si>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</si>
  <si>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</si>
  <si>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</si>
  <si>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</si>
  <si>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</si>
  <si>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</si>
  <si>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</si>
  <si>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</si>
  <si>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</si>
  <si>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</si>
  <si>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</si>
  <si>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</si>
  <si>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</si>
  <si>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</si>
  <si>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</si>
  <si>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</si>
  <si>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045 scotch</t>
  </si>
  <si>
    <t>varillado base</t>
  </si>
  <si>
    <t>varillas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</si>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</sst>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2" zoomScale="115" zoomScaleNormal="115" workbookViewId="0">
      <selection activeCell="G23" sqref="G23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/>
      <c r="B3" s="44"/>
      <c r="C3" s="44"/>
      <c r="D3" s="5">
        <f>IF(A3="",0,1)</f>
        <v>0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0</v>
      </c>
      <c r="F3" s="51"/>
      <c r="G3" s="51"/>
      <c r="H3" s="51"/>
      <c r="I3" s="51"/>
      <c r="J3" s="51"/>
      <c r="K3" s="51"/>
      <c r="L3" s="7">
        <f>IF(F3="",0,1)</f>
        <v>0</v>
      </c>
      <c r="M3"/>
      <c r="O3" s="1"/>
      <c r="P3" s="1"/>
      <c r="Q3" s="1"/>
    </row>
    <row r="4" spans="1:20" ht="14.1" customHeight="1" x14ac:dyDescent="0.25">
      <c r="A4" s="44" t="s">
        <v>27</v>
      </c>
      <c r="B4" s="44"/>
      <c r="C4" s="44"/>
      <c r="D4" s="5">
        <f>IF(A4="",0,2)</f>
        <v>2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194.46</v>
      </c>
      <c r="F4" s="45">
        <v>9134116</v>
      </c>
      <c r="G4" s="45"/>
      <c r="H4" s="45"/>
      <c r="I4" s="45"/>
      <c r="J4" s="45"/>
      <c r="K4" s="45"/>
      <c r="L4" s="7">
        <f>IF(F4="",0,2)</f>
        <v>2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82.521600000000007</v>
      </c>
      <c r="R15" s="19" t="s">
        <v>24</v>
      </c>
      <c r="S15" s="20" t="s">
        <v>25</v>
      </c>
    </row>
    <row r="16" spans="1:20" ht="15.75" x14ac:dyDescent="0.25">
      <c r="A16" s="21">
        <v>9134116</v>
      </c>
      <c r="B16" s="22">
        <v>4</v>
      </c>
      <c r="C16" s="23">
        <v>1766</v>
      </c>
      <c r="D16" s="24">
        <v>70</v>
      </c>
      <c r="E16" s="25" t="s">
        <v>28</v>
      </c>
      <c r="F16" s="26"/>
      <c r="G16" s="27">
        <v>2</v>
      </c>
      <c r="H16" s="28">
        <v>2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14.128</v>
      </c>
      <c r="Q16">
        <v>1</v>
      </c>
      <c r="R16" s="34">
        <f>((SUMIF(G16:G1016,D3,Hoja3!A1:A1001)+SUMIF(H16:H1016,D3,Hoja3!B1:B1001)+SUMIF(I16:I1016,D3,Hoja3!C1:C1001)+SUMIF(J16:J1016,D3,Hoja3!D1:D1001))/1000)*1.05</f>
        <v>0</v>
      </c>
      <c r="S16" s="35">
        <f t="shared" ref="S16:S23" si="1">A3</f>
        <v>0</v>
      </c>
    </row>
    <row r="17" spans="1:19" ht="15.75" x14ac:dyDescent="0.25">
      <c r="A17" s="21">
        <v>9134116</v>
      </c>
      <c r="B17" s="22">
        <v>8</v>
      </c>
      <c r="C17" s="23">
        <v>865</v>
      </c>
      <c r="D17" s="24">
        <v>70</v>
      </c>
      <c r="E17" s="25" t="s">
        <v>28</v>
      </c>
      <c r="F17" s="25"/>
      <c r="G17" s="36">
        <v>2</v>
      </c>
      <c r="H17" s="36">
        <v>2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13.84</v>
      </c>
      <c r="Q17">
        <v>2</v>
      </c>
      <c r="R17" s="34">
        <f>((SUMIF(G16:G1016,D4,Hoja3!A1:A1001)+SUMIF(H16:H1016,D4,Hoja3!B1:B1001)+SUMIF(I16:I1016,D4,Hoja3!C1:C1001)+SUMIF(J16:J1016,D4,Hoja3!D1:D1001))/1000)*1.05</f>
        <v>82.521600000000007</v>
      </c>
      <c r="S17" s="35" t="str">
        <f t="shared" si="1"/>
        <v>045 scotch</v>
      </c>
    </row>
    <row r="18" spans="1:19" ht="15.75" x14ac:dyDescent="0.25">
      <c r="A18" s="21">
        <v>9134116</v>
      </c>
      <c r="B18" s="22">
        <v>64</v>
      </c>
      <c r="C18" s="23">
        <v>2328</v>
      </c>
      <c r="D18" s="24">
        <v>70</v>
      </c>
      <c r="E18" s="25" t="s">
        <v>29</v>
      </c>
      <c r="F18" s="25"/>
      <c r="G18" s="36"/>
      <c r="H18" s="36"/>
      <c r="I18" s="36"/>
      <c r="J18" s="36"/>
      <c r="K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0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9134116</v>
      </c>
      <c r="B19" s="22">
        <v>4</v>
      </c>
      <c r="C19" s="23">
        <v>818</v>
      </c>
      <c r="D19" s="24">
        <v>70</v>
      </c>
      <c r="E19" s="25" t="s">
        <v>28</v>
      </c>
      <c r="F19" s="25"/>
      <c r="G19" s="36">
        <v>2</v>
      </c>
      <c r="H19" s="36">
        <v>2</v>
      </c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6.5439999999999996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9134116</v>
      </c>
      <c r="B20" s="22">
        <v>4</v>
      </c>
      <c r="C20" s="23">
        <v>782</v>
      </c>
      <c r="D20" s="24">
        <v>70</v>
      </c>
      <c r="E20" s="25" t="s">
        <v>28</v>
      </c>
      <c r="F20" s="25"/>
      <c r="G20" s="36">
        <v>2</v>
      </c>
      <c r="H20" s="36">
        <v>2</v>
      </c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6.2560000000000002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9134116</v>
      </c>
      <c r="B21" s="22">
        <v>8</v>
      </c>
      <c r="C21" s="23">
        <v>2364</v>
      </c>
      <c r="D21" s="24">
        <v>70</v>
      </c>
      <c r="E21" s="25" t="s">
        <v>30</v>
      </c>
      <c r="F21" s="25"/>
      <c r="G21" s="37">
        <v>2</v>
      </c>
      <c r="H21" s="37">
        <v>2</v>
      </c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37.823999999999998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/>
      <c r="B22" s="22"/>
      <c r="C22" s="23"/>
      <c r="D22" s="24"/>
      <c r="E22" s="25"/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/>
      <c r="B23" s="22"/>
      <c r="C23" s="23"/>
      <c r="D23" s="24"/>
      <c r="E23" s="25"/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82.521600000000007</v>
      </c>
      <c r="S24" s="39" t="s">
        <v>26</v>
      </c>
    </row>
    <row r="25" spans="1:19" x14ac:dyDescent="0.2">
      <c r="A25" s="21"/>
      <c r="B25" s="22"/>
      <c r="C25" s="23"/>
      <c r="D25" s="24"/>
      <c r="E25" s="25" t="s">
        <v>31</v>
      </c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7064</v>
      </c>
      <c r="B1">
        <f>Hoja1!B16*Hoja1!C16</f>
        <v>7064</v>
      </c>
      <c r="C1">
        <f>Hoja1!B16*Hoja1!D16</f>
        <v>280</v>
      </c>
      <c r="D1">
        <f>Hoja1!B16*Hoja1!D16</f>
        <v>280</v>
      </c>
    </row>
    <row r="2" spans="1:4" x14ac:dyDescent="0.2">
      <c r="A2">
        <f>Hoja1!B17*Hoja1!C17</f>
        <v>6920</v>
      </c>
      <c r="B2">
        <f>Hoja1!B17*Hoja1!C17</f>
        <v>6920</v>
      </c>
      <c r="C2">
        <f>Hoja1!B17*Hoja1!D17</f>
        <v>560</v>
      </c>
      <c r="D2">
        <f>Hoja1!B17*Hoja1!D17</f>
        <v>560</v>
      </c>
    </row>
    <row r="3" spans="1:4" x14ac:dyDescent="0.2">
      <c r="A3">
        <f>Hoja1!B18*Hoja1!C18</f>
        <v>148992</v>
      </c>
      <c r="B3">
        <f>Hoja1!B18*Hoja1!C18</f>
        <v>148992</v>
      </c>
      <c r="C3">
        <f>Hoja1!B18*Hoja1!D18</f>
        <v>4480</v>
      </c>
      <c r="D3">
        <f>Hoja1!B18*Hoja1!D18</f>
        <v>4480</v>
      </c>
    </row>
    <row r="4" spans="1:4" x14ac:dyDescent="0.2">
      <c r="A4">
        <f>Hoja1!B19*Hoja1!C19</f>
        <v>3272</v>
      </c>
      <c r="B4">
        <f>Hoja1!B19*Hoja1!C19</f>
        <v>3272</v>
      </c>
      <c r="C4">
        <f>Hoja1!B19*Hoja1!D19</f>
        <v>280</v>
      </c>
      <c r="D4">
        <f>Hoja1!B19*Hoja1!D19</f>
        <v>280</v>
      </c>
    </row>
    <row r="5" spans="1:4" x14ac:dyDescent="0.2">
      <c r="A5">
        <f>Hoja1!B20*Hoja1!C20</f>
        <v>3128</v>
      </c>
      <c r="B5">
        <f>Hoja1!B20*Hoja1!C20</f>
        <v>3128</v>
      </c>
      <c r="C5">
        <f>Hoja1!B20*Hoja1!D20</f>
        <v>280</v>
      </c>
      <c r="D5">
        <f>Hoja1!B20*Hoja1!D20</f>
        <v>280</v>
      </c>
    </row>
    <row r="6" spans="1:4" x14ac:dyDescent="0.2">
      <c r="A6">
        <f>Hoja1!B21*Hoja1!C21</f>
        <v>18912</v>
      </c>
      <c r="B6">
        <f>Hoja1!B21*Hoja1!C21</f>
        <v>18912</v>
      </c>
      <c r="C6">
        <f>Hoja1!B21*Hoja1!D21</f>
        <v>560</v>
      </c>
      <c r="D6">
        <f>Hoja1!B21*Hoja1!D21</f>
        <v>560</v>
      </c>
    </row>
    <row r="7" spans="1:4" x14ac:dyDescent="0.2">
      <c r="A7">
        <f>Hoja1!B22*Hoja1!C22</f>
        <v>0</v>
      </c>
      <c r="B7">
        <f>Hoja1!B22*Hoja1!C22</f>
        <v>0</v>
      </c>
      <c r="C7">
        <f>Hoja1!B22*Hoja1!D22</f>
        <v>0</v>
      </c>
      <c r="D7">
        <f>Hoja1!B22*Hoja1!D22</f>
        <v>0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2025-07-03T14:55:20Z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