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n iksen\casa\"/>
    </mc:Choice>
  </mc:AlternateContent>
  <xr:revisionPtr revIDLastSave="0" documentId="13_ncr:1_{58440C8A-1EFC-4018-B43A-DD10114A14C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<sst xmlns="http://schemas.openxmlformats.org/spreadsheetml/2006/main" count="48" uniqueCount="38">
  <si>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</si>
  <si>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</si>
  <si>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</si>
  <si>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</si>
  <si>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</si>
  <si>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</si>
  <si>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</si>
  <si>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</si>
  <si>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</si>
  <si>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</si>
  <si>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</si>
  <si>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</si>
  <si>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</si>
  <si>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</si>
  <si>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</si>
  <si>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</si>
  <si>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</si>
  <si>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</si>
  <si>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</si>
  <si>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</si>
  <si>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</si>
  <si>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</si>
  <si>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</si>
  <si>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</si>
  <si>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</si>
  <si>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</si>
  <si>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</si>
  <si>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 xml:space="preserve">040 BLANCO </t>
  </si>
  <si>
    <t>lat cajon</t>
  </si>
  <si>
    <t>lat mue</t>
  </si>
  <si>
    <t>base escri</t>
  </si>
  <si>
    <t>base mue</t>
  </si>
  <si>
    <t>tapas cajon</t>
  </si>
  <si>
    <t>zocalo</t>
  </si>
  <si>
    <t>cables base</t>
  </si>
  <si>
    <t>fondo escri</t>
  </si>
  <si>
    <t>040 Scotch</t>
  </si>
  <si>
    <t>cables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</si>
</sst>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5" zoomScale="115" zoomScaleNormal="115" workbookViewId="0">
      <selection activeCell="A25" sqref="A2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27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18.78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36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114.672</v>
      </c>
      <c r="F4" s="48">
        <v>9134116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37.480800000000002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2</v>
      </c>
      <c r="C16" s="23">
        <v>2300</v>
      </c>
      <c r="D16" s="24">
        <v>600</v>
      </c>
      <c r="E16" s="25" t="s">
        <v>30</v>
      </c>
      <c r="F16" s="26"/>
      <c r="G16" s="27">
        <v>2</v>
      </c>
      <c r="H16" s="28">
        <v>2</v>
      </c>
      <c r="I16" s="28">
        <v>2</v>
      </c>
      <c r="J16" s="29">
        <v>2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16" s="33">
        <f t="shared" ref="O16:O79" si="0">(IF(G16&gt;0,C16,0)+IF(H16&gt;0,C16,0)+IF(I16&gt;0,D16,0)+IF(J16&gt;0,D16,0))*B16/1000</f>
        <v>11.6</v>
      </c>
      <c r="Q16">
        <v>1</v>
      </c>
      <c r="R16" s="34">
        <f>((SUMIF(G16:G1016,D3,Hoja3!A1:A1001)+SUMIF(H16:H1016,D3,Hoja3!B1:B1001)+SUMIF(I16:I1016,D3,Hoja3!C1:C1001)+SUMIF(J16:J1016,D3,Hoja3!D1:D1001))/1000)*1.05</f>
        <v>11.025</v>
      </c>
      <c r="S16" s="35" t="str">
        <f t="shared" ref="S16:S23" si="1">A3</f>
        <v xml:space="preserve">040 BLANCO </v>
      </c>
    </row>
    <row r="17" spans="1:19" ht="15.75" x14ac:dyDescent="0.25">
      <c r="A17" s="21">
        <v>9117152</v>
      </c>
      <c r="B17" s="22">
        <v>4</v>
      </c>
      <c r="C17" s="23">
        <v>580</v>
      </c>
      <c r="D17" s="24">
        <v>694</v>
      </c>
      <c r="E17" s="25" t="s">
        <v>29</v>
      </c>
      <c r="F17" s="25"/>
      <c r="G17" s="36"/>
      <c r="H17" s="36"/>
      <c r="I17" s="36">
        <v>1</v>
      </c>
      <c r="J17" s="36">
        <v>1</v>
      </c>
      <c r="K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5.5519999999999996</v>
      </c>
      <c r="Q17">
        <v>2</v>
      </c>
      <c r="R17" s="34">
        <f>((SUMIF(G16:G1016,D4,Hoja3!A1:A1001)+SUMIF(H16:H1016,D4,Hoja3!B1:B1001)+SUMIF(I16:I1016,D4,Hoja3!C1:C1001)+SUMIF(J16:J1016,D4,Hoja3!D1:D1001))/1000)*1.05</f>
        <v>26.455800000000004</v>
      </c>
      <c r="S17" s="35" t="str">
        <f t="shared" si="1"/>
        <v>040 Scotch</v>
      </c>
    </row>
    <row r="18" spans="1:19" ht="15.75" x14ac:dyDescent="0.25">
      <c r="A18" s="21">
        <v>9117152</v>
      </c>
      <c r="B18" s="22">
        <v>2</v>
      </c>
      <c r="C18" s="23">
        <v>400</v>
      </c>
      <c r="D18" s="24">
        <v>580</v>
      </c>
      <c r="E18" s="25" t="s">
        <v>31</v>
      </c>
      <c r="F18" s="25"/>
      <c r="G18" s="36">
        <v>1</v>
      </c>
      <c r="H18" s="36"/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8" s="33">
        <f t="shared" si="0"/>
        <v>3.12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9134116</v>
      </c>
      <c r="B19" s="22">
        <v>3</v>
      </c>
      <c r="C19" s="23">
        <v>396</v>
      </c>
      <c r="D19" s="24">
        <v>205</v>
      </c>
      <c r="E19" s="25" t="s">
        <v>32</v>
      </c>
      <c r="F19" s="25"/>
      <c r="G19" s="36">
        <v>2</v>
      </c>
      <c r="H19" s="36">
        <v>2</v>
      </c>
      <c r="I19" s="36">
        <v>2</v>
      </c>
      <c r="J19" s="36">
        <v>2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19" s="33">
        <f t="shared" si="0"/>
        <v>3.6059999999999999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9117152</v>
      </c>
      <c r="B20" s="22">
        <v>2</v>
      </c>
      <c r="C20" s="23">
        <v>396</v>
      </c>
      <c r="D20" s="24">
        <v>70</v>
      </c>
      <c r="E20" s="25" t="s">
        <v>33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9117152</v>
      </c>
      <c r="B21" s="22">
        <v>2</v>
      </c>
      <c r="C21" s="23">
        <v>612</v>
      </c>
      <c r="D21" s="24">
        <v>70</v>
      </c>
      <c r="E21" s="25" t="s">
        <v>33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2</v>
      </c>
      <c r="C22" s="23">
        <v>914</v>
      </c>
      <c r="D22" s="24">
        <v>200</v>
      </c>
      <c r="E22" s="25" t="s">
        <v>34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1.8280000000000001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9117152</v>
      </c>
      <c r="B23" s="22">
        <v>2</v>
      </c>
      <c r="C23" s="23">
        <v>914</v>
      </c>
      <c r="D23" s="24">
        <v>694</v>
      </c>
      <c r="E23" s="25" t="s">
        <v>35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9134116</v>
      </c>
      <c r="B24" s="22">
        <v>6</v>
      </c>
      <c r="C24" s="23">
        <v>337</v>
      </c>
      <c r="D24" s="24">
        <v>150</v>
      </c>
      <c r="E24" s="25" t="s">
        <v>28</v>
      </c>
      <c r="F24" s="25"/>
      <c r="G24" s="37">
        <v>2</v>
      </c>
      <c r="H24" s="37"/>
      <c r="I24" s="37">
        <v>2</v>
      </c>
      <c r="J24" s="37">
        <v>2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24" s="33">
        <f t="shared" si="0"/>
        <v>3.8220000000000001</v>
      </c>
      <c r="R24" s="38">
        <f>SUM(R16:R23)</f>
        <v>37.480800000000002</v>
      </c>
      <c r="S24" s="39" t="s">
        <v>26</v>
      </c>
    </row>
    <row r="25" spans="1:19" x14ac:dyDescent="0.2">
      <c r="A25" s="21">
        <v>9134116</v>
      </c>
      <c r="B25" s="22">
        <v>6</v>
      </c>
      <c r="C25" s="23">
        <v>514</v>
      </c>
      <c r="D25" s="24">
        <v>150</v>
      </c>
      <c r="E25" s="25" t="s">
        <v>28</v>
      </c>
      <c r="F25" s="25"/>
      <c r="G25" s="37">
        <v>2</v>
      </c>
      <c r="H25" s="37">
        <v>2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6.1680000000000001</v>
      </c>
    </row>
    <row r="26" spans="1:19" x14ac:dyDescent="0.2">
      <c r="A26" s="21">
        <v>9117152</v>
      </c>
      <c r="B26" s="22">
        <v>2</v>
      </c>
      <c r="C26" s="23">
        <v>914</v>
      </c>
      <c r="D26" s="24">
        <v>170</v>
      </c>
      <c r="E26" s="25" t="s">
        <v>37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4600</v>
      </c>
      <c r="B1">
        <f>Hoja1!B16*Hoja1!C16</f>
        <v>4600</v>
      </c>
      <c r="C1">
        <f>Hoja1!B16*Hoja1!D16</f>
        <v>1200</v>
      </c>
      <c r="D1">
        <f>Hoja1!B16*Hoja1!D16</f>
        <v>1200</v>
      </c>
    </row>
    <row r="2" spans="1:4" x14ac:dyDescent="0.2">
      <c r="A2">
        <f>Hoja1!B17*Hoja1!C17</f>
        <v>2320</v>
      </c>
      <c r="B2">
        <f>Hoja1!B17*Hoja1!C17</f>
        <v>2320</v>
      </c>
      <c r="C2">
        <f>Hoja1!B17*Hoja1!D17</f>
        <v>2776</v>
      </c>
      <c r="D2">
        <f>Hoja1!B17*Hoja1!D17</f>
        <v>2776</v>
      </c>
    </row>
    <row r="3" spans="1:4" x14ac:dyDescent="0.2">
      <c r="A3">
        <f>Hoja1!B18*Hoja1!C18</f>
        <v>800</v>
      </c>
      <c r="B3">
        <f>Hoja1!B18*Hoja1!C18</f>
        <v>800</v>
      </c>
      <c r="C3">
        <f>Hoja1!B18*Hoja1!D18</f>
        <v>1160</v>
      </c>
      <c r="D3">
        <f>Hoja1!B18*Hoja1!D18</f>
        <v>1160</v>
      </c>
    </row>
    <row r="4" spans="1:4" x14ac:dyDescent="0.2">
      <c r="A4">
        <f>Hoja1!B19*Hoja1!C19</f>
        <v>1188</v>
      </c>
      <c r="B4">
        <f>Hoja1!B19*Hoja1!C19</f>
        <v>1188</v>
      </c>
      <c r="C4">
        <f>Hoja1!B19*Hoja1!D19</f>
        <v>615</v>
      </c>
      <c r="D4">
        <f>Hoja1!B19*Hoja1!D19</f>
        <v>615</v>
      </c>
    </row>
    <row r="5" spans="1:4" x14ac:dyDescent="0.2">
      <c r="A5">
        <f>Hoja1!B20*Hoja1!C20</f>
        <v>792</v>
      </c>
      <c r="B5">
        <f>Hoja1!B20*Hoja1!C20</f>
        <v>792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1224</v>
      </c>
      <c r="B6">
        <f>Hoja1!B21*Hoja1!C21</f>
        <v>1224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1828</v>
      </c>
      <c r="B7">
        <f>Hoja1!B22*Hoja1!C22</f>
        <v>1828</v>
      </c>
      <c r="C7">
        <f>Hoja1!B22*Hoja1!D22</f>
        <v>400</v>
      </c>
      <c r="D7">
        <f>Hoja1!B22*Hoja1!D22</f>
        <v>400</v>
      </c>
    </row>
    <row r="8" spans="1:4" x14ac:dyDescent="0.2">
      <c r="A8">
        <f>Hoja1!B23*Hoja1!C23</f>
        <v>1828</v>
      </c>
      <c r="B8">
        <f>Hoja1!B23*Hoja1!C23</f>
        <v>1828</v>
      </c>
      <c r="C8">
        <f>Hoja1!B23*Hoja1!D23</f>
        <v>1388</v>
      </c>
      <c r="D8">
        <f>Hoja1!B23*Hoja1!D23</f>
        <v>1388</v>
      </c>
    </row>
    <row r="9" spans="1:4" x14ac:dyDescent="0.2">
      <c r="A9">
        <f>Hoja1!B24*Hoja1!C24</f>
        <v>2022</v>
      </c>
      <c r="B9">
        <f>Hoja1!B24*Hoja1!C24</f>
        <v>2022</v>
      </c>
      <c r="C9">
        <f>Hoja1!B24*Hoja1!D24</f>
        <v>900</v>
      </c>
      <c r="D9">
        <f>Hoja1!B24*Hoja1!D24</f>
        <v>900</v>
      </c>
    </row>
    <row r="10" spans="1:4" x14ac:dyDescent="0.2">
      <c r="A10">
        <f>Hoja1!B25*Hoja1!C25</f>
        <v>3084</v>
      </c>
      <c r="B10">
        <f>Hoja1!B25*Hoja1!C25</f>
        <v>3084</v>
      </c>
      <c r="C10">
        <f>Hoja1!B25*Hoja1!D25</f>
        <v>900</v>
      </c>
      <c r="D10">
        <f>Hoja1!B25*Hoja1!D25</f>
        <v>900</v>
      </c>
    </row>
    <row r="11" spans="1:4" x14ac:dyDescent="0.2">
      <c r="A11">
        <f>Hoja1!B26*Hoja1!C26</f>
        <v>1828</v>
      </c>
      <c r="B11">
        <f>Hoja1!B26*Hoja1!C26</f>
        <v>1828</v>
      </c>
      <c r="C11">
        <f>Hoja1!B26*Hoja1!D26</f>
        <v>340</v>
      </c>
      <c r="D11">
        <f>Hoja1!B26*Hoja1!D26</f>
        <v>340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2025-07-02T12:59:04Z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