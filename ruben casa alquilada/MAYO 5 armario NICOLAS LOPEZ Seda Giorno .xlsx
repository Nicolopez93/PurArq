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ruben casa alquilada\"/>
    </mc:Choice>
  </mc:AlternateContent>
  <xr:revisionPtr revIDLastSave="0" documentId="13_ncr:1_{A60A8A0C-62D9-4E74-A894-7FFA400889A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<sst xmlns="http://schemas.openxmlformats.org/spreadsheetml/2006/main" count="45" uniqueCount="34">
  <si>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</si>
  <si>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</si>
  <si>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</si>
  <si>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</si>
  <si>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</si>
  <si>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</si>
  <si>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</si>
  <si>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</si>
  <si>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</si>
  <si>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</si>
  <si>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</si>
  <si>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</si>
  <si>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</si>
  <si>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</si>
  <si>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</si>
  <si>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</si>
  <si>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</si>
  <si>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</si>
  <si>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</si>
  <si>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</si>
  <si>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</si>
  <si>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</si>
  <si>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</si>
  <si>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</si>
  <si>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</si>
  <si>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</si>
  <si>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</si>
  <si>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040 Seda Notte</t>
  </si>
  <si>
    <t>zocalo</t>
  </si>
  <si>
    <t>base</t>
  </si>
  <si>
    <t>lat bajo</t>
  </si>
  <si>
    <t>estante</t>
  </si>
  <si>
    <t>lat sup</t>
  </si>
  <si>
    <t xml:space="preserve">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</si>
</sst>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25" sqref="A2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140.96600000000001</v>
      </c>
      <c r="F3" s="47">
        <v>9120094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19.867049999999999</v>
      </c>
      <c r="R15" s="19" t="s">
        <v>24</v>
      </c>
      <c r="S15" s="20" t="s">
        <v>25</v>
      </c>
    </row>
    <row r="16" spans="1:20" ht="15.75" x14ac:dyDescent="0.25">
      <c r="A16" s="21">
        <v>9120094</v>
      </c>
      <c r="B16" s="22">
        <v>2</v>
      </c>
      <c r="C16" s="23">
        <v>2205</v>
      </c>
      <c r="D16" s="24">
        <v>90</v>
      </c>
      <c r="E16" s="25" t="s">
        <v>28</v>
      </c>
      <c r="F16" s="26"/>
      <c r="G16" s="27"/>
      <c r="H16" s="28"/>
      <c r="I16" s="28"/>
      <c r="J16" s="29"/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</v>
      </c>
      <c r="Q16">
        <v>1</v>
      </c>
      <c r="R16" s="34">
        <f>((SUMIF(G16:G1016,D3,Hoja3!A1:A1001)+SUMIF(H16:H1016,D3,Hoja3!B1:B1001)+SUMIF(I16:I1016,D3,Hoja3!C1:C1001)+SUMIF(J16:J1016,D3,Hoja3!D1:D1001))/1000)*1.05</f>
        <v>19.867049999999999</v>
      </c>
      <c r="S16" s="35" t="str">
        <f t="shared" ref="S16:S23" si="1">A3</f>
        <v>040 Seda Notte</v>
      </c>
    </row>
    <row r="17" spans="1:19" ht="15.75" x14ac:dyDescent="0.25">
      <c r="A17" s="21">
        <v>9120094</v>
      </c>
      <c r="B17" s="22">
        <v>3</v>
      </c>
      <c r="C17" s="23">
        <v>330</v>
      </c>
      <c r="D17" s="24">
        <v>90</v>
      </c>
      <c r="E17" s="25" t="s">
        <v>28</v>
      </c>
      <c r="F17" s="25"/>
      <c r="G17" s="36"/>
      <c r="H17" s="36"/>
      <c r="I17" s="36"/>
      <c r="J17" s="36"/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9120094</v>
      </c>
      <c r="B18" s="22">
        <v>2</v>
      </c>
      <c r="C18" s="23">
        <v>745</v>
      </c>
      <c r="D18" s="24">
        <v>450</v>
      </c>
      <c r="E18" s="25" t="s">
        <v>29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Seda Notte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2.39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9120094</v>
      </c>
      <c r="B19" s="22">
        <v>2</v>
      </c>
      <c r="C19" s="23">
        <v>715</v>
      </c>
      <c r="D19" s="24">
        <v>450</v>
      </c>
      <c r="E19" s="25" t="s">
        <v>29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Seda Notte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Seda Notte</v>
      </c>
      <c r="O19" s="33">
        <f t="shared" si="0"/>
        <v>3.23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9120094</v>
      </c>
      <c r="B20" s="22">
        <v>4</v>
      </c>
      <c r="C20" s="23">
        <v>650</v>
      </c>
      <c r="D20" s="24">
        <v>450</v>
      </c>
      <c r="E20" s="25" t="s">
        <v>30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9120094</v>
      </c>
      <c r="B21" s="22">
        <v>2</v>
      </c>
      <c r="C21" s="23">
        <v>709</v>
      </c>
      <c r="D21" s="24">
        <v>450</v>
      </c>
      <c r="E21" s="25" t="s">
        <v>31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1.4179999999999999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9120094</v>
      </c>
      <c r="B22" s="22">
        <v>5</v>
      </c>
      <c r="C22" s="23">
        <v>679</v>
      </c>
      <c r="D22" s="24">
        <v>450</v>
      </c>
      <c r="E22" s="25" t="s">
        <v>31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3.395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9120094</v>
      </c>
      <c r="B23" s="22">
        <v>2</v>
      </c>
      <c r="C23" s="23">
        <v>1974</v>
      </c>
      <c r="D23" s="24">
        <v>450</v>
      </c>
      <c r="E23" s="25" t="s">
        <v>32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3.948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9120094</v>
      </c>
      <c r="B24" s="22">
        <v>1</v>
      </c>
      <c r="C24" s="23">
        <v>1490</v>
      </c>
      <c r="D24" s="24">
        <v>450</v>
      </c>
      <c r="E24" s="25" t="s">
        <v>33</v>
      </c>
      <c r="F24" s="25"/>
      <c r="G24" s="37">
        <v>1</v>
      </c>
      <c r="H24" s="37"/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Seda Notte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Seda Notte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1.94</v>
      </c>
      <c r="R24" s="38">
        <f>SUM(R16:R23)</f>
        <v>19.867049999999999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4410</v>
      </c>
      <c r="B1">
        <f>Hoja1!B16*Hoja1!C16</f>
        <v>4410</v>
      </c>
      <c r="C1">
        <f>Hoja1!B16*Hoja1!D16</f>
        <v>180</v>
      </c>
      <c r="D1">
        <f>Hoja1!B16*Hoja1!D16</f>
        <v>180</v>
      </c>
    </row>
    <row r="2" spans="1:4" x14ac:dyDescent="0.2">
      <c r="A2">
        <f>Hoja1!B17*Hoja1!C17</f>
        <v>990</v>
      </c>
      <c r="B2">
        <f>Hoja1!B17*Hoja1!C17</f>
        <v>990</v>
      </c>
      <c r="C2">
        <f>Hoja1!B17*Hoja1!D17</f>
        <v>270</v>
      </c>
      <c r="D2">
        <f>Hoja1!B17*Hoja1!D17</f>
        <v>270</v>
      </c>
    </row>
    <row r="3" spans="1:4" x14ac:dyDescent="0.2">
      <c r="A3">
        <f>Hoja1!B18*Hoja1!C18</f>
        <v>1490</v>
      </c>
      <c r="B3">
        <f>Hoja1!B18*Hoja1!C18</f>
        <v>1490</v>
      </c>
      <c r="C3">
        <f>Hoja1!B18*Hoja1!D18</f>
        <v>900</v>
      </c>
      <c r="D3">
        <f>Hoja1!B18*Hoja1!D18</f>
        <v>900</v>
      </c>
    </row>
    <row r="4" spans="1:4" x14ac:dyDescent="0.2">
      <c r="A4">
        <f>Hoja1!B19*Hoja1!C19</f>
        <v>1430</v>
      </c>
      <c r="B4">
        <f>Hoja1!B19*Hoja1!C19</f>
        <v>1430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2600</v>
      </c>
      <c r="B5">
        <f>Hoja1!B20*Hoja1!C20</f>
        <v>2600</v>
      </c>
      <c r="C5">
        <f>Hoja1!B20*Hoja1!D20</f>
        <v>1800</v>
      </c>
      <c r="D5">
        <f>Hoja1!B20*Hoja1!D20</f>
        <v>1800</v>
      </c>
    </row>
    <row r="6" spans="1:4" x14ac:dyDescent="0.2">
      <c r="A6">
        <f>Hoja1!B21*Hoja1!C21</f>
        <v>1418</v>
      </c>
      <c r="B6">
        <f>Hoja1!B21*Hoja1!C21</f>
        <v>1418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3395</v>
      </c>
      <c r="B7">
        <f>Hoja1!B22*Hoja1!C22</f>
        <v>3395</v>
      </c>
      <c r="C7">
        <f>Hoja1!B22*Hoja1!D22</f>
        <v>2250</v>
      </c>
      <c r="D7">
        <f>Hoja1!B22*Hoja1!D22</f>
        <v>2250</v>
      </c>
    </row>
    <row r="8" spans="1:4" x14ac:dyDescent="0.2">
      <c r="A8">
        <f>Hoja1!B23*Hoja1!C23</f>
        <v>3948</v>
      </c>
      <c r="B8">
        <f>Hoja1!B23*Hoja1!C23</f>
        <v>3948</v>
      </c>
      <c r="C8">
        <f>Hoja1!B23*Hoja1!D23</f>
        <v>900</v>
      </c>
      <c r="D8">
        <f>Hoja1!B23*Hoja1!D23</f>
        <v>900</v>
      </c>
    </row>
    <row r="9" spans="1:4" x14ac:dyDescent="0.2">
      <c r="A9">
        <f>Hoja1!B24*Hoja1!C24</f>
        <v>1490</v>
      </c>
      <c r="B9">
        <f>Hoja1!B24*Hoja1!C24</f>
        <v>1490</v>
      </c>
      <c r="C9">
        <f>Hoja1!B24*Hoja1!D24</f>
        <v>450</v>
      </c>
      <c r="D9">
        <f>Hoja1!B24*Hoja1!D24</f>
        <v>450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2025-05-05T14:21:04Z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