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ruben casa alquilada\"/>
    </mc:Choice>
  </mc:AlternateContent>
  <xr:revisionPtr revIDLastSave="0" documentId="13_ncr:1_{EFF21D34-2488-4E0B-A749-22869747356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<sst xmlns="http://schemas.openxmlformats.org/spreadsheetml/2006/main" count="49" uniqueCount="39">
  <si>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</si>
  <si>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</si>
  <si>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</si>
  <si>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</si>
  <si>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</si>
  <si>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</si>
  <si>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</si>
  <si>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</si>
  <si>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</si>
  <si>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</si>
  <si>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</si>
  <si>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</si>
  <si>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</si>
  <si>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</si>
  <si>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</si>
  <si>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</si>
  <si>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</si>
  <si>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</si>
  <si>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</si>
  <si>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</si>
  <si>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</si>
  <si>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</si>
  <si>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</si>
  <si>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</si>
  <si>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</si>
  <si>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</si>
  <si>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</si>
  <si>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</si>
  <si>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040 Seda Notte</t>
  </si>
  <si>
    <t>varillado</t>
  </si>
  <si>
    <t>escritorio</t>
  </si>
  <si>
    <t>2mm Seda Notte</t>
  </si>
  <si>
    <t>lat escri</t>
  </si>
  <si>
    <t>base final</t>
  </si>
  <si>
    <t>lat final</t>
  </si>
  <si>
    <t>tapas cajon</t>
  </si>
  <si>
    <t>base cajones</t>
  </si>
  <si>
    <t>lat cajones</t>
  </si>
  <si>
    <t xml:space="preserve">lat cajon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</si>
</sst>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D28" sqref="D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390.84500000000003</v>
      </c>
      <c r="F3" s="51">
        <v>9120093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31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84.292000000000002</v>
      </c>
      <c r="F4" s="45">
        <v>9120094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125.02350000000001</v>
      </c>
      <c r="R15" s="19" t="s">
        <v>24</v>
      </c>
      <c r="S15" s="20" t="s">
        <v>25</v>
      </c>
    </row>
    <row r="16" spans="1:20" ht="15.75" x14ac:dyDescent="0.25">
      <c r="A16" s="21">
        <v>9120094</v>
      </c>
      <c r="B16" s="22">
        <v>15</v>
      </c>
      <c r="C16" s="23">
        <v>2365</v>
      </c>
      <c r="D16" s="24">
        <v>70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70.95</v>
      </c>
      <c r="Q16">
        <v>1</v>
      </c>
      <c r="R16" s="34">
        <f>((SUMIF(G16:G1016,D3,Hoja3!A1:A1001)+SUMIF(H16:H1016,D3,Hoja3!B1:B1001)+SUMIF(I16:I1016,D3,Hoja3!C1:C1001)+SUMIF(J16:J1016,D3,Hoja3!D1:D1001))/1000)*1.05</f>
        <v>106.21380000000001</v>
      </c>
      <c r="S16" s="35" t="str">
        <f t="shared" ref="S16:S23" si="1">A3</f>
        <v>040 Seda Notte</v>
      </c>
    </row>
    <row r="17" spans="1:19" ht="15.75" x14ac:dyDescent="0.25">
      <c r="A17" s="21">
        <v>9120094</v>
      </c>
      <c r="B17" s="22">
        <v>1</v>
      </c>
      <c r="C17" s="23">
        <v>2365</v>
      </c>
      <c r="D17" s="24">
        <v>463</v>
      </c>
      <c r="E17" s="25" t="s">
        <v>29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4.7300000000000004</v>
      </c>
      <c r="Q17">
        <v>2</v>
      </c>
      <c r="R17" s="34">
        <f>((SUMIF(G16:G1016,D4,Hoja3!A1:A1001)+SUMIF(H16:H1016,D4,Hoja3!B1:B1001)+SUMIF(I16:I1016,D4,Hoja3!C1:C1001)+SUMIF(J16:J1016,D4,Hoja3!D1:D1001))/1000)*1.05</f>
        <v>18.809700000000003</v>
      </c>
      <c r="S17" s="35" t="str">
        <f t="shared" si="1"/>
        <v>2mm Seda Notte</v>
      </c>
    </row>
    <row r="18" spans="1:19" ht="15.75" x14ac:dyDescent="0.25">
      <c r="A18" s="21">
        <v>9120094</v>
      </c>
      <c r="B18" s="22">
        <v>3</v>
      </c>
      <c r="C18" s="23">
        <v>2365</v>
      </c>
      <c r="D18" s="24">
        <v>404</v>
      </c>
      <c r="E18" s="25" t="s">
        <v>29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14.19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9120093</v>
      </c>
      <c r="B19" s="22">
        <v>2</v>
      </c>
      <c r="C19" s="23">
        <v>1400</v>
      </c>
      <c r="D19" s="24">
        <v>600</v>
      </c>
      <c r="E19" s="25" t="s">
        <v>30</v>
      </c>
      <c r="F19" s="25"/>
      <c r="G19" s="36">
        <v>2</v>
      </c>
      <c r="H19" s="36">
        <v>2</v>
      </c>
      <c r="I19" s="36">
        <v>2</v>
      </c>
      <c r="J19" s="36">
        <v>2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19" s="33">
        <f t="shared" si="0"/>
        <v>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9120093</v>
      </c>
      <c r="B20" s="22">
        <v>2</v>
      </c>
      <c r="C20" s="23">
        <v>664</v>
      </c>
      <c r="D20" s="24">
        <v>600</v>
      </c>
      <c r="E20" s="25" t="s">
        <v>32</v>
      </c>
      <c r="F20" s="25"/>
      <c r="G20" s="36">
        <v>2</v>
      </c>
      <c r="H20" s="36">
        <v>2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2.6560000000000001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9120093</v>
      </c>
      <c r="B21" s="22">
        <v>1</v>
      </c>
      <c r="C21" s="23">
        <v>1306</v>
      </c>
      <c r="D21" s="24">
        <v>343</v>
      </c>
      <c r="E21" s="25" t="s">
        <v>33</v>
      </c>
      <c r="F21" s="25"/>
      <c r="G21" s="37">
        <v>2</v>
      </c>
      <c r="H21" s="37"/>
      <c r="I21" s="37">
        <v>2</v>
      </c>
      <c r="J21" s="37">
        <v>2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21" s="33">
        <f t="shared" si="0"/>
        <v>1.992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9120093</v>
      </c>
      <c r="B22" s="22">
        <v>2</v>
      </c>
      <c r="C22" s="23">
        <v>268</v>
      </c>
      <c r="D22" s="24">
        <v>343</v>
      </c>
      <c r="E22" s="25" t="s">
        <v>34</v>
      </c>
      <c r="F22" s="25"/>
      <c r="G22" s="36">
        <v>2</v>
      </c>
      <c r="H22" s="36"/>
      <c r="I22" s="36">
        <v>2</v>
      </c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1.222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9120093</v>
      </c>
      <c r="B23" s="22">
        <v>3</v>
      </c>
      <c r="C23" s="23">
        <v>260</v>
      </c>
      <c r="D23" s="24">
        <v>414</v>
      </c>
      <c r="E23" s="25" t="s">
        <v>35</v>
      </c>
      <c r="F23" s="25"/>
      <c r="G23" s="37">
        <v>2</v>
      </c>
      <c r="H23" s="37">
        <v>2</v>
      </c>
      <c r="I23" s="37">
        <v>2</v>
      </c>
      <c r="J23" s="37">
        <v>2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23" s="33">
        <f t="shared" si="0"/>
        <v>4.0439999999999996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9120093</v>
      </c>
      <c r="B24" s="22">
        <v>6</v>
      </c>
      <c r="C24" s="23">
        <v>422</v>
      </c>
      <c r="D24" s="24">
        <v>325</v>
      </c>
      <c r="E24" s="25" t="s">
        <v>36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2.532</v>
      </c>
      <c r="R24" s="38">
        <f>SUM(R16:R23)</f>
        <v>125.02350000000001</v>
      </c>
      <c r="S24" s="39" t="s">
        <v>26</v>
      </c>
    </row>
    <row r="25" spans="1:19" x14ac:dyDescent="0.2">
      <c r="A25" s="21">
        <v>9120093</v>
      </c>
      <c r="B25" s="22">
        <v>6</v>
      </c>
      <c r="C25" s="23">
        <v>232</v>
      </c>
      <c r="D25" s="24">
        <v>325</v>
      </c>
      <c r="E25" s="25" t="s">
        <v>37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1.3919999999999999</v>
      </c>
    </row>
    <row r="26" spans="1:19" x14ac:dyDescent="0.2">
      <c r="A26" s="21">
        <v>9120093</v>
      </c>
      <c r="B26" s="22">
        <v>6</v>
      </c>
      <c r="C26" s="23">
        <v>359</v>
      </c>
      <c r="D26" s="24">
        <v>170</v>
      </c>
      <c r="E26" s="25" t="s">
        <v>38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Seda Notte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Seda Notte</v>
      </c>
      <c r="O26" s="33">
        <f t="shared" si="0"/>
        <v>4.194</v>
      </c>
    </row>
    <row r="27" spans="1:19" x14ac:dyDescent="0.2">
      <c r="A27" s="21">
        <v>9120093</v>
      </c>
      <c r="B27" s="22">
        <v>6</v>
      </c>
      <c r="C27" s="23">
        <v>264</v>
      </c>
      <c r="D27" s="24">
        <v>170</v>
      </c>
      <c r="E27" s="25" t="s">
        <v>27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Seda Notte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3.1680000000000001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35475</v>
      </c>
      <c r="B1">
        <f>Hoja1!B16*Hoja1!C16</f>
        <v>35475</v>
      </c>
      <c r="C1">
        <f>Hoja1!B16*Hoja1!D16</f>
        <v>1050</v>
      </c>
      <c r="D1">
        <f>Hoja1!B16*Hoja1!D16</f>
        <v>1050</v>
      </c>
    </row>
    <row r="2" spans="1:4" x14ac:dyDescent="0.2">
      <c r="A2">
        <f>Hoja1!B17*Hoja1!C17</f>
        <v>2365</v>
      </c>
      <c r="B2">
        <f>Hoja1!B17*Hoja1!C17</f>
        <v>2365</v>
      </c>
      <c r="C2">
        <f>Hoja1!B17*Hoja1!D17</f>
        <v>463</v>
      </c>
      <c r="D2">
        <f>Hoja1!B17*Hoja1!D17</f>
        <v>463</v>
      </c>
    </row>
    <row r="3" spans="1:4" x14ac:dyDescent="0.2">
      <c r="A3">
        <f>Hoja1!B18*Hoja1!C18</f>
        <v>7095</v>
      </c>
      <c r="B3">
        <f>Hoja1!B18*Hoja1!C18</f>
        <v>7095</v>
      </c>
      <c r="C3">
        <f>Hoja1!B18*Hoja1!D18</f>
        <v>1212</v>
      </c>
      <c r="D3">
        <f>Hoja1!B18*Hoja1!D18</f>
        <v>1212</v>
      </c>
    </row>
    <row r="4" spans="1:4" x14ac:dyDescent="0.2">
      <c r="A4">
        <f>Hoja1!B19*Hoja1!C19</f>
        <v>2800</v>
      </c>
      <c r="B4">
        <f>Hoja1!B19*Hoja1!C19</f>
        <v>2800</v>
      </c>
      <c r="C4">
        <f>Hoja1!B19*Hoja1!D19</f>
        <v>1200</v>
      </c>
      <c r="D4">
        <f>Hoja1!B19*Hoja1!D19</f>
        <v>1200</v>
      </c>
    </row>
    <row r="5" spans="1:4" x14ac:dyDescent="0.2">
      <c r="A5">
        <f>Hoja1!B20*Hoja1!C20</f>
        <v>1328</v>
      </c>
      <c r="B5">
        <f>Hoja1!B20*Hoja1!C20</f>
        <v>1328</v>
      </c>
      <c r="C5">
        <f>Hoja1!B20*Hoja1!D20</f>
        <v>1200</v>
      </c>
      <c r="D5">
        <f>Hoja1!B20*Hoja1!D20</f>
        <v>1200</v>
      </c>
    </row>
    <row r="6" spans="1:4" x14ac:dyDescent="0.2">
      <c r="A6">
        <f>Hoja1!B21*Hoja1!C21</f>
        <v>1306</v>
      </c>
      <c r="B6">
        <f>Hoja1!B21*Hoja1!C21</f>
        <v>1306</v>
      </c>
      <c r="C6">
        <f>Hoja1!B21*Hoja1!D21</f>
        <v>343</v>
      </c>
      <c r="D6">
        <f>Hoja1!B21*Hoja1!D21</f>
        <v>343</v>
      </c>
    </row>
    <row r="7" spans="1:4" x14ac:dyDescent="0.2">
      <c r="A7">
        <f>Hoja1!B22*Hoja1!C22</f>
        <v>536</v>
      </c>
      <c r="B7">
        <f>Hoja1!B22*Hoja1!C22</f>
        <v>536</v>
      </c>
      <c r="C7">
        <f>Hoja1!B22*Hoja1!D22</f>
        <v>686</v>
      </c>
      <c r="D7">
        <f>Hoja1!B22*Hoja1!D22</f>
        <v>686</v>
      </c>
    </row>
    <row r="8" spans="1:4" x14ac:dyDescent="0.2">
      <c r="A8">
        <f>Hoja1!B23*Hoja1!C23</f>
        <v>780</v>
      </c>
      <c r="B8">
        <f>Hoja1!B23*Hoja1!C23</f>
        <v>780</v>
      </c>
      <c r="C8">
        <f>Hoja1!B23*Hoja1!D23</f>
        <v>1242</v>
      </c>
      <c r="D8">
        <f>Hoja1!B23*Hoja1!D23</f>
        <v>1242</v>
      </c>
    </row>
    <row r="9" spans="1:4" x14ac:dyDescent="0.2">
      <c r="A9">
        <f>Hoja1!B24*Hoja1!C24</f>
        <v>2532</v>
      </c>
      <c r="B9">
        <f>Hoja1!B24*Hoja1!C24</f>
        <v>2532</v>
      </c>
      <c r="C9">
        <f>Hoja1!B24*Hoja1!D24</f>
        <v>1950</v>
      </c>
      <c r="D9">
        <f>Hoja1!B24*Hoja1!D24</f>
        <v>1950</v>
      </c>
    </row>
    <row r="10" spans="1:4" x14ac:dyDescent="0.2">
      <c r="A10">
        <f>Hoja1!B25*Hoja1!C25</f>
        <v>1392</v>
      </c>
      <c r="B10">
        <f>Hoja1!B25*Hoja1!C25</f>
        <v>1392</v>
      </c>
      <c r="C10">
        <f>Hoja1!B25*Hoja1!D25</f>
        <v>1950</v>
      </c>
      <c r="D10">
        <f>Hoja1!B25*Hoja1!D25</f>
        <v>1950</v>
      </c>
    </row>
    <row r="11" spans="1:4" x14ac:dyDescent="0.2">
      <c r="A11">
        <f>Hoja1!B26*Hoja1!C26</f>
        <v>2154</v>
      </c>
      <c r="B11">
        <f>Hoja1!B26*Hoja1!C26</f>
        <v>2154</v>
      </c>
      <c r="C11">
        <f>Hoja1!B26*Hoja1!D26</f>
        <v>1020</v>
      </c>
      <c r="D11">
        <f>Hoja1!B26*Hoja1!D26</f>
        <v>1020</v>
      </c>
    </row>
    <row r="12" spans="1:4" x14ac:dyDescent="0.2">
      <c r="A12">
        <f>Hoja1!B27*Hoja1!C27</f>
        <v>1584</v>
      </c>
      <c r="B12">
        <f>Hoja1!B27*Hoja1!C27</f>
        <v>1584</v>
      </c>
      <c r="C12">
        <f>Hoja1!B27*Hoja1!D27</f>
        <v>1020</v>
      </c>
      <c r="D12">
        <f>Hoja1!B27*Hoja1!D27</f>
        <v>1020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2025-02-26T14:33:12Z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