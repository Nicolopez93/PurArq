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uille\"/>
    </mc:Choice>
  </mc:AlternateContent>
  <xr:revisionPtr revIDLastSave="0" documentId="13_ncr:1_{22CE9CF0-5957-4960-9352-6B7E1B829BF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<sst xmlns="http://schemas.openxmlformats.org/spreadsheetml/2006/main" count="52" uniqueCount="35">
  <si>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</si>
  <si>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</si>
  <si>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</si>
  <si>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</si>
  <si>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</si>
  <si>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</si>
  <si>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</si>
  <si>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</si>
  <si>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</si>
  <si>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</si>
  <si>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</si>
  <si>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</si>
  <si>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</si>
  <si>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</si>
  <si>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</si>
  <si>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</si>
  <si>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</si>
  <si>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</si>
  <si>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</si>
  <si>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</si>
  <si>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</si>
  <si>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</si>
  <si>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</si>
  <si>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</si>
  <si>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</si>
  <si>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</si>
  <si>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</si>
  <si>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</si>
  <si>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</si>
  <si>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</si>
  <si>
    <t>estante</t>
  </si>
  <si>
    <t>puertas</t>
  </si>
  <si>
    <t>lat infe</t>
  </si>
  <si>
    <t>lat supe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</si>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</sst>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45" sqref="A4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91.495999999999995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22.415399999999998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3</v>
      </c>
      <c r="C16" s="23">
        <v>700</v>
      </c>
      <c r="D16" s="24">
        <v>432</v>
      </c>
      <c r="E16" s="25" t="s">
        <v>29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4.6920000000000002</v>
      </c>
      <c r="Q16">
        <v>1</v>
      </c>
      <c r="R16" s="34">
        <f>((SUMIF(G16:G1016,D3,Hoja3!A1:A1001)+SUMIF(H16:H1016,D3,Hoja3!B1:B1001)+SUMIF(I16:I1016,D3,Hoja3!C1:C1001)+SUMIF(J16:J1016,D3,Hoja3!D1:D1001))/1000)*1.05</f>
        <v>22.415399999999998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700</v>
      </c>
      <c r="D17" s="24">
        <v>450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1.6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664</v>
      </c>
      <c r="D18" s="24">
        <v>432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2.6560000000000001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796</v>
      </c>
      <c r="D19" s="24">
        <v>346</v>
      </c>
      <c r="E19" s="25" t="s">
        <v>31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4.5679999999999996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764</v>
      </c>
      <c r="D20" s="24">
        <v>432</v>
      </c>
      <c r="E20" s="25" t="s">
        <v>32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3.056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1194</v>
      </c>
      <c r="D21" s="24">
        <v>432</v>
      </c>
      <c r="E21" s="25" t="s">
        <v>33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4.7759999999999998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696</v>
      </c>
      <c r="D22" s="24">
        <v>70</v>
      </c>
      <c r="E22" s="25" t="s">
        <v>34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360</v>
      </c>
      <c r="D23" s="24">
        <v>70</v>
      </c>
      <c r="E23" s="25" t="s">
        <v>34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22.415399999999998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2100</v>
      </c>
      <c r="B1">
        <f>Hoja1!B16*Hoja1!C16</f>
        <v>2100</v>
      </c>
      <c r="C1">
        <f>Hoja1!B16*Hoja1!D16</f>
        <v>1296</v>
      </c>
      <c r="D1">
        <f>Hoja1!B16*Hoja1!D16</f>
        <v>1296</v>
      </c>
    </row>
    <row r="2" spans="1:4" x14ac:dyDescent="0.2">
      <c r="A2">
        <f>Hoja1!B17*Hoja1!C17</f>
        <v>700</v>
      </c>
      <c r="B2">
        <f>Hoja1!B17*Hoja1!C17</f>
        <v>700</v>
      </c>
      <c r="C2">
        <f>Hoja1!B17*Hoja1!D17</f>
        <v>450</v>
      </c>
      <c r="D2">
        <f>Hoja1!B17*Hoja1!D17</f>
        <v>450</v>
      </c>
    </row>
    <row r="3" spans="1:4" x14ac:dyDescent="0.2">
      <c r="A3">
        <f>Hoja1!B18*Hoja1!C18</f>
        <v>1328</v>
      </c>
      <c r="B3">
        <f>Hoja1!B18*Hoja1!C18</f>
        <v>1328</v>
      </c>
      <c r="C3">
        <f>Hoja1!B18*Hoja1!D18</f>
        <v>864</v>
      </c>
      <c r="D3">
        <f>Hoja1!B18*Hoja1!D18</f>
        <v>864</v>
      </c>
    </row>
    <row r="4" spans="1:4" x14ac:dyDescent="0.2">
      <c r="A4">
        <f>Hoja1!B19*Hoja1!C19</f>
        <v>1592</v>
      </c>
      <c r="B4">
        <f>Hoja1!B19*Hoja1!C19</f>
        <v>1592</v>
      </c>
      <c r="C4">
        <f>Hoja1!B19*Hoja1!D19</f>
        <v>692</v>
      </c>
      <c r="D4">
        <f>Hoja1!B19*Hoja1!D19</f>
        <v>692</v>
      </c>
    </row>
    <row r="5" spans="1:4" x14ac:dyDescent="0.2">
      <c r="A5">
        <f>Hoja1!B20*Hoja1!C20</f>
        <v>1528</v>
      </c>
      <c r="B5">
        <f>Hoja1!B20*Hoja1!C20</f>
        <v>1528</v>
      </c>
      <c r="C5">
        <f>Hoja1!B20*Hoja1!D20</f>
        <v>864</v>
      </c>
      <c r="D5">
        <f>Hoja1!B20*Hoja1!D20</f>
        <v>864</v>
      </c>
    </row>
    <row r="6" spans="1:4" x14ac:dyDescent="0.2">
      <c r="A6">
        <f>Hoja1!B21*Hoja1!C21</f>
        <v>2388</v>
      </c>
      <c r="B6">
        <f>Hoja1!B21*Hoja1!C21</f>
        <v>2388</v>
      </c>
      <c r="C6">
        <f>Hoja1!B21*Hoja1!D21</f>
        <v>864</v>
      </c>
      <c r="D6">
        <f>Hoja1!B21*Hoja1!D21</f>
        <v>864</v>
      </c>
    </row>
    <row r="7" spans="1:4" x14ac:dyDescent="0.2">
      <c r="A7">
        <f>Hoja1!B22*Hoja1!C22</f>
        <v>1392</v>
      </c>
      <c r="B7">
        <f>Hoja1!B22*Hoja1!C22</f>
        <v>1392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720</v>
      </c>
      <c r="B8">
        <f>Hoja1!B23*Hoja1!C23</f>
        <v>720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2025-04-06T17:20:19Z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