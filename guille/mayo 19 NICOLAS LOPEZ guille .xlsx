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guille\"/>
    </mc:Choice>
  </mc:AlternateContent>
  <xr:revisionPtr revIDLastSave="0" documentId="13_ncr:1_{7462F297-4BC2-4517-B67C-847CB3FDCFB9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<sst xmlns="http://schemas.openxmlformats.org/spreadsheetml/2006/main" count="46" uniqueCount="34">
  <si>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</si>
  <si>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</si>
  <si>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</si>
  <si>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</si>
  <si>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</si>
  <si>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</si>
  <si>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</si>
  <si>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</si>
  <si>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</si>
  <si>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</si>
  <si>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</si>
  <si>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</si>
  <si>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</si>
  <si>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</si>
  <si>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</si>
  <si>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</si>
  <si>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</si>
  <si>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</si>
  <si>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</si>
  <si>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</si>
  <si>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</si>
  <si>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</si>
  <si>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</si>
  <si>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</si>
  <si>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</si>
  <si>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</si>
  <si>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</si>
  <si>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</si>
  <si>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base </t>
  </si>
  <si>
    <t>lateral</t>
  </si>
  <si>
    <t>lateral micro</t>
  </si>
  <si>
    <t>base sup micro</t>
  </si>
  <si>
    <t>base micro</t>
  </si>
  <si>
    <t xml:space="preserve">2mm BLANCO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</si>
</sst>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6" zoomScale="130" zoomScaleNormal="130" workbookViewId="0">
      <selection activeCell="A7" sqref="A7:C7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33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36.103999999999999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7.6566000000000001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2</v>
      </c>
      <c r="C16" s="23">
        <v>1160</v>
      </c>
      <c r="D16" s="24">
        <v>300</v>
      </c>
      <c r="E16" s="25" t="s">
        <v>28</v>
      </c>
      <c r="F16" s="26"/>
      <c r="G16" s="27">
        <v>1</v>
      </c>
      <c r="H16" s="28"/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2mm BLANCO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2mm BLANCO 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2mm BLANCO </v>
      </c>
      <c r="O16" s="33">
        <f t="shared" ref="O16:O79" si="0">(IF(G16&gt;0,C16,0)+IF(H16&gt;0,C16,0)+IF(I16&gt;0,D16,0)+IF(J16&gt;0,D16,0))*B16/1000</f>
        <v>3.52</v>
      </c>
      <c r="Q16">
        <v>1</v>
      </c>
      <c r="R16" s="34">
        <f>((SUMIF(G16:G1016,D3,Hoja3!A1:A1001)+SUMIF(H16:H1016,D3,Hoja3!B1:B1001)+SUMIF(I16:I1016,D3,Hoja3!C1:C1001)+SUMIF(J16:J1016,D3,Hoja3!D1:D1001))/1000)*1.05</f>
        <v>7.6566000000000001</v>
      </c>
      <c r="S16" s="35" t="str">
        <f t="shared" ref="S16:S23" si="1">A3</f>
        <v xml:space="preserve">2mm BLANCO </v>
      </c>
    </row>
    <row r="17" spans="1:19" ht="15.75" x14ac:dyDescent="0.25">
      <c r="A17" s="21" t="s">
        <v>26</v>
      </c>
      <c r="B17" s="22">
        <v>2</v>
      </c>
      <c r="C17" s="23">
        <v>320</v>
      </c>
      <c r="D17" s="24">
        <v>300</v>
      </c>
      <c r="E17" s="25" t="s">
        <v>29</v>
      </c>
      <c r="F17" s="25"/>
      <c r="G17" s="36">
        <v>1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2mm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0.64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2</v>
      </c>
      <c r="C18" s="23">
        <v>360</v>
      </c>
      <c r="D18" s="24">
        <v>300</v>
      </c>
      <c r="E18" s="25" t="s">
        <v>30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2mm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0.72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1</v>
      </c>
      <c r="C19" s="23">
        <v>536</v>
      </c>
      <c r="D19" s="24">
        <v>300</v>
      </c>
      <c r="E19" s="25" t="s">
        <v>31</v>
      </c>
      <c r="F19" s="25"/>
      <c r="G19" s="36">
        <v>1</v>
      </c>
      <c r="H19" s="36"/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2mm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2mm BLANCO 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2mm BLANCO </v>
      </c>
      <c r="O19" s="33">
        <f t="shared" si="0"/>
        <v>1.1359999999999999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1</v>
      </c>
      <c r="C20" s="23">
        <v>536</v>
      </c>
      <c r="D20" s="24">
        <v>370</v>
      </c>
      <c r="E20" s="25" t="s">
        <v>32</v>
      </c>
      <c r="F20" s="25"/>
      <c r="G20" s="36">
        <v>1</v>
      </c>
      <c r="H20" s="36"/>
      <c r="I20" s="36">
        <v>1</v>
      </c>
      <c r="J20" s="36">
        <v>1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2mm BLANCO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2mm BLANCO 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2mm BLANCO </v>
      </c>
      <c r="O20" s="33">
        <f t="shared" si="0"/>
        <v>1.276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/>
      <c r="B21" s="22"/>
      <c r="C21" s="23"/>
      <c r="D21" s="24"/>
      <c r="E21" s="25"/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/>
      <c r="B22" s="22"/>
      <c r="C22" s="23"/>
      <c r="D22" s="24"/>
      <c r="E22" s="25"/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/>
      <c r="B23" s="22"/>
      <c r="C23" s="23"/>
      <c r="D23" s="24"/>
      <c r="E23" s="25"/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7.6566000000000001</v>
      </c>
      <c r="S24" s="39" t="s">
        <v>27</v>
      </c>
    </row>
    <row r="25" spans="1:19" x14ac:dyDescent="0.2">
      <c r="A25" s="21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2320</v>
      </c>
      <c r="B1">
        <f>Hoja1!B16*Hoja1!C16</f>
        <v>2320</v>
      </c>
      <c r="C1">
        <f>Hoja1!B16*Hoja1!D16</f>
        <v>600</v>
      </c>
      <c r="D1">
        <f>Hoja1!B16*Hoja1!D16</f>
        <v>600</v>
      </c>
    </row>
    <row r="2" spans="1:4" x14ac:dyDescent="0.2">
      <c r="A2">
        <f>Hoja1!B17*Hoja1!C17</f>
        <v>640</v>
      </c>
      <c r="B2">
        <f>Hoja1!B17*Hoja1!C17</f>
        <v>640</v>
      </c>
      <c r="C2">
        <f>Hoja1!B17*Hoja1!D17</f>
        <v>600</v>
      </c>
      <c r="D2">
        <f>Hoja1!B17*Hoja1!D17</f>
        <v>600</v>
      </c>
    </row>
    <row r="3" spans="1:4" x14ac:dyDescent="0.2">
      <c r="A3">
        <f>Hoja1!B18*Hoja1!C18</f>
        <v>720</v>
      </c>
      <c r="B3">
        <f>Hoja1!B18*Hoja1!C18</f>
        <v>720</v>
      </c>
      <c r="C3">
        <f>Hoja1!B18*Hoja1!D18</f>
        <v>600</v>
      </c>
      <c r="D3">
        <f>Hoja1!B18*Hoja1!D18</f>
        <v>600</v>
      </c>
    </row>
    <row r="4" spans="1:4" x14ac:dyDescent="0.2">
      <c r="A4">
        <f>Hoja1!B19*Hoja1!C19</f>
        <v>536</v>
      </c>
      <c r="B4">
        <f>Hoja1!B19*Hoja1!C19</f>
        <v>536</v>
      </c>
      <c r="C4">
        <f>Hoja1!B19*Hoja1!D19</f>
        <v>300</v>
      </c>
      <c r="D4">
        <f>Hoja1!B19*Hoja1!D19</f>
        <v>300</v>
      </c>
    </row>
    <row r="5" spans="1:4" x14ac:dyDescent="0.2">
      <c r="A5">
        <f>Hoja1!B20*Hoja1!C20</f>
        <v>536</v>
      </c>
      <c r="B5">
        <f>Hoja1!B20*Hoja1!C20</f>
        <v>536</v>
      </c>
      <c r="C5">
        <f>Hoja1!B20*Hoja1!D20</f>
        <v>370</v>
      </c>
      <c r="D5">
        <f>Hoja1!B20*Hoja1!D20</f>
        <v>370</v>
      </c>
    </row>
    <row r="6" spans="1:4" x14ac:dyDescent="0.2">
      <c r="A6">
        <f>Hoja1!B21*Hoja1!C21</f>
        <v>0</v>
      </c>
      <c r="B6">
        <f>Hoja1!B21*Hoja1!C21</f>
        <v>0</v>
      </c>
      <c r="C6">
        <f>Hoja1!B21*Hoja1!D21</f>
        <v>0</v>
      </c>
      <c r="D6">
        <f>Hoja1!B21*Hoja1!D21</f>
        <v>0</v>
      </c>
    </row>
    <row r="7" spans="1:4" x14ac:dyDescent="0.2">
      <c r="A7">
        <f>Hoja1!B22*Hoja1!C22</f>
        <v>0</v>
      </c>
      <c r="B7">
        <f>Hoja1!B22*Hoja1!C22</f>
        <v>0</v>
      </c>
      <c r="C7">
        <f>Hoja1!B22*Hoja1!D22</f>
        <v>0</v>
      </c>
      <c r="D7">
        <f>Hoja1!B22*Hoja1!D22</f>
        <v>0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2025-05-19T12:35:33Z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