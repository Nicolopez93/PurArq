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ionel\"/>
    </mc:Choice>
  </mc:AlternateContent>
  <xr:revisionPtr revIDLastSave="0" documentId="13_ncr:1_{57F72F7E-F196-4D20-8186-929FEDCA82D8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<sst xmlns="http://schemas.openxmlformats.org/spreadsheetml/2006/main" count="68" uniqueCount="42">
  <si>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</si>
  <si>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</si>
  <si>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</si>
  <si>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</si>
  <si>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</si>
  <si>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</si>
  <si>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</si>
  <si>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</si>
  <si>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</si>
  <si>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</si>
  <si>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</si>
  <si>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</si>
  <si>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</si>
  <si>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</si>
  <si>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</si>
  <si>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</si>
  <si>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</si>
  <si>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</si>
  <si>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</si>
  <si>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</si>
  <si>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</si>
  <si>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</si>
  <si>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</si>
  <si>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</si>
  <si>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</si>
  <si>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</si>
  <si>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</si>
  <si>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puertas</t>
  </si>
  <si>
    <t>zocalo</t>
  </si>
  <si>
    <t>estante</t>
  </si>
  <si>
    <t>lat bajo me</t>
  </si>
  <si>
    <t>base bajo me</t>
  </si>
  <si>
    <t xml:space="preserve">estante bajo me </t>
  </si>
  <si>
    <t>manija</t>
  </si>
  <si>
    <t>base ala</t>
  </si>
  <si>
    <t>lat alace</t>
  </si>
  <si>
    <t xml:space="preserve">estante ala </t>
  </si>
  <si>
    <t>puertas ala</t>
  </si>
  <si>
    <t xml:space="preserve">base ala </t>
  </si>
  <si>
    <t>fondo</t>
  </si>
  <si>
    <t>040 BLANCO NATURE</t>
  </si>
  <si>
    <t>9118042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</si>
</sst>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9" zoomScale="130" zoomScaleNormal="130" workbookViewId="0">
      <selection activeCell="A33" sqref="A33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40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350.72199999999998</v>
      </c>
      <c r="F3" s="47">
        <v>9118042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33.151650000000004</v>
      </c>
      <c r="R15" s="19" t="s">
        <v>24</v>
      </c>
      <c r="S15" s="20" t="s">
        <v>25</v>
      </c>
    </row>
    <row r="16" spans="1:20" ht="15.75" x14ac:dyDescent="0.25">
      <c r="A16" s="21" t="s">
        <v>41</v>
      </c>
      <c r="B16" s="22">
        <v>2</v>
      </c>
      <c r="C16" s="23">
        <v>793</v>
      </c>
      <c r="D16" s="24">
        <v>436</v>
      </c>
      <c r="E16" s="25" t="s">
        <v>27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BLANCO NATURE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BLANCO NATURE</v>
      </c>
      <c r="O16" s="33">
        <f t="shared" ref="O16:O79" si="0">(IF(G16&gt;0,C16,0)+IF(H16&gt;0,C16,0)+IF(I16&gt;0,D16,0)+IF(J16&gt;0,D16,0))*B16/1000</f>
        <v>4.9160000000000004</v>
      </c>
      <c r="Q16">
        <v>1</v>
      </c>
      <c r="R16" s="34">
        <f>((SUMIF(G16:G1016,D3,Hoja3!A1:A1001)+SUMIF(H16:H1016,D3,Hoja3!B1:B1001)+SUMIF(I16:I1016,D3,Hoja3!C1:C1001)+SUMIF(J16:J1016,D3,Hoja3!D1:D1001))/1000)*1.05</f>
        <v>33.151650000000004</v>
      </c>
      <c r="S16" s="35" t="str">
        <f t="shared" ref="S16:S23" si="1">A3</f>
        <v>040 BLANCO NATURE</v>
      </c>
    </row>
    <row r="17" spans="1:19" ht="15.75" x14ac:dyDescent="0.25">
      <c r="A17" s="21" t="s">
        <v>41</v>
      </c>
      <c r="B17" s="22">
        <v>1</v>
      </c>
      <c r="C17" s="23">
        <v>844</v>
      </c>
      <c r="D17" s="24">
        <v>594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0.84399999999999997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41</v>
      </c>
      <c r="B18" s="22">
        <v>3</v>
      </c>
      <c r="C18" s="23">
        <v>797</v>
      </c>
      <c r="D18" s="24">
        <v>594</v>
      </c>
      <c r="E18" s="25" t="s">
        <v>30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2.391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41</v>
      </c>
      <c r="B19" s="22">
        <v>1</v>
      </c>
      <c r="C19" s="23">
        <v>880</v>
      </c>
      <c r="D19" s="24">
        <v>594</v>
      </c>
      <c r="E19" s="25" t="s">
        <v>31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0.88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41</v>
      </c>
      <c r="B20" s="22">
        <v>1</v>
      </c>
      <c r="C20" s="23">
        <v>594</v>
      </c>
      <c r="D20" s="24">
        <v>300</v>
      </c>
      <c r="E20" s="25" t="s">
        <v>31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0.89400000000000002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41</v>
      </c>
      <c r="B21" s="22">
        <v>3</v>
      </c>
      <c r="C21" s="23">
        <v>594</v>
      </c>
      <c r="D21" s="24">
        <v>280</v>
      </c>
      <c r="E21" s="25" t="s">
        <v>32</v>
      </c>
      <c r="F21" s="25"/>
      <c r="G21" s="37">
        <v>1</v>
      </c>
      <c r="H21" s="37"/>
      <c r="I21" s="37">
        <v>1</v>
      </c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2.6219999999999999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41</v>
      </c>
      <c r="B22" s="22">
        <v>2</v>
      </c>
      <c r="C22" s="23">
        <v>1180</v>
      </c>
      <c r="D22" s="24">
        <v>70</v>
      </c>
      <c r="E22" s="25" t="s">
        <v>28</v>
      </c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41</v>
      </c>
      <c r="B23" s="22">
        <v>2</v>
      </c>
      <c r="C23" s="23">
        <v>498</v>
      </c>
      <c r="D23" s="24">
        <v>70</v>
      </c>
      <c r="E23" s="25" t="s">
        <v>28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41</v>
      </c>
      <c r="B24" s="22">
        <v>3</v>
      </c>
      <c r="C24" s="23">
        <v>844</v>
      </c>
      <c r="D24" s="24">
        <v>40</v>
      </c>
      <c r="E24" s="25" t="s">
        <v>33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33.151650000000004</v>
      </c>
      <c r="S24" s="39" t="s">
        <v>26</v>
      </c>
    </row>
    <row r="25" spans="1:19" x14ac:dyDescent="0.2">
      <c r="A25" s="21" t="s">
        <v>41</v>
      </c>
      <c r="B25" s="22">
        <v>6</v>
      </c>
      <c r="C25" s="23">
        <v>485</v>
      </c>
      <c r="D25" s="24">
        <v>300</v>
      </c>
      <c r="E25" s="25" t="s">
        <v>34</v>
      </c>
      <c r="F25" s="25"/>
      <c r="G25" s="37">
        <v>1</v>
      </c>
      <c r="H25" s="37"/>
      <c r="I25" s="37">
        <v>1</v>
      </c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4.71</v>
      </c>
    </row>
    <row r="26" spans="1:19" x14ac:dyDescent="0.2">
      <c r="A26" s="21" t="s">
        <v>41</v>
      </c>
      <c r="B26" s="22">
        <v>7</v>
      </c>
      <c r="C26" s="23">
        <v>544</v>
      </c>
      <c r="D26" s="24">
        <v>300</v>
      </c>
      <c r="E26" s="25" t="s">
        <v>35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3.8079999999999998</v>
      </c>
    </row>
    <row r="27" spans="1:19" x14ac:dyDescent="0.2">
      <c r="A27" s="21" t="s">
        <v>41</v>
      </c>
      <c r="B27" s="22">
        <v>3</v>
      </c>
      <c r="C27" s="23">
        <v>449</v>
      </c>
      <c r="D27" s="24">
        <v>300</v>
      </c>
      <c r="E27" s="25" t="s">
        <v>36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1.347</v>
      </c>
    </row>
    <row r="28" spans="1:19" x14ac:dyDescent="0.2">
      <c r="A28" s="21" t="s">
        <v>41</v>
      </c>
      <c r="B28" s="22">
        <v>3</v>
      </c>
      <c r="C28" s="23">
        <v>595</v>
      </c>
      <c r="D28" s="24">
        <v>481</v>
      </c>
      <c r="E28" s="25" t="s">
        <v>37</v>
      </c>
      <c r="F28" s="25"/>
      <c r="G28" s="37">
        <v>1</v>
      </c>
      <c r="H28" s="37">
        <v>1</v>
      </c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BLANCO NATURE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BLANCO NATURE</v>
      </c>
      <c r="O28" s="33">
        <f t="shared" si="0"/>
        <v>6.4560000000000004</v>
      </c>
    </row>
    <row r="29" spans="1:19" x14ac:dyDescent="0.2">
      <c r="A29" s="21" t="s">
        <v>41</v>
      </c>
      <c r="B29" s="22">
        <v>2</v>
      </c>
      <c r="C29" s="23">
        <v>427</v>
      </c>
      <c r="D29" s="24">
        <v>300</v>
      </c>
      <c r="E29" s="25" t="s">
        <v>38</v>
      </c>
      <c r="F29" s="25"/>
      <c r="G29" s="37">
        <v>1</v>
      </c>
      <c r="H29" s="37"/>
      <c r="I29" s="37">
        <v>1</v>
      </c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1.454</v>
      </c>
    </row>
    <row r="30" spans="1:19" x14ac:dyDescent="0.2">
      <c r="A30" s="21" t="s">
        <v>41</v>
      </c>
      <c r="B30" s="22">
        <v>1</v>
      </c>
      <c r="C30" s="23">
        <v>427</v>
      </c>
      <c r="D30" s="24">
        <v>280</v>
      </c>
      <c r="E30" s="25" t="s">
        <v>29</v>
      </c>
      <c r="F30" s="25"/>
      <c r="G30" s="37">
        <v>1</v>
      </c>
      <c r="H30" s="37"/>
      <c r="I30" s="37">
        <v>1</v>
      </c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BLANCO NATURE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0.70699999999999996</v>
      </c>
    </row>
    <row r="31" spans="1:19" x14ac:dyDescent="0.2">
      <c r="A31" s="21" t="s">
        <v>41</v>
      </c>
      <c r="B31" s="22">
        <v>1</v>
      </c>
      <c r="C31" s="23">
        <v>544</v>
      </c>
      <c r="D31" s="24">
        <v>409</v>
      </c>
      <c r="E31" s="25" t="s">
        <v>39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BLANCO NATURE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0.54400000000000004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1586</v>
      </c>
      <c r="B1">
        <f>Hoja1!B16*Hoja1!C16</f>
        <v>1586</v>
      </c>
      <c r="C1">
        <f>Hoja1!B16*Hoja1!D16</f>
        <v>872</v>
      </c>
      <c r="D1">
        <f>Hoja1!B16*Hoja1!D16</f>
        <v>872</v>
      </c>
    </row>
    <row r="2" spans="1:4" x14ac:dyDescent="0.2">
      <c r="A2">
        <f>Hoja1!B17*Hoja1!C17</f>
        <v>844</v>
      </c>
      <c r="B2">
        <f>Hoja1!B17*Hoja1!C17</f>
        <v>844</v>
      </c>
      <c r="C2">
        <f>Hoja1!B17*Hoja1!D17</f>
        <v>594</v>
      </c>
      <c r="D2">
        <f>Hoja1!B17*Hoja1!D17</f>
        <v>594</v>
      </c>
    </row>
    <row r="3" spans="1:4" x14ac:dyDescent="0.2">
      <c r="A3">
        <f>Hoja1!B18*Hoja1!C18</f>
        <v>2391</v>
      </c>
      <c r="B3">
        <f>Hoja1!B18*Hoja1!C18</f>
        <v>2391</v>
      </c>
      <c r="C3">
        <f>Hoja1!B18*Hoja1!D18</f>
        <v>1782</v>
      </c>
      <c r="D3">
        <f>Hoja1!B18*Hoja1!D18</f>
        <v>1782</v>
      </c>
    </row>
    <row r="4" spans="1:4" x14ac:dyDescent="0.2">
      <c r="A4">
        <f>Hoja1!B19*Hoja1!C19</f>
        <v>880</v>
      </c>
      <c r="B4">
        <f>Hoja1!B19*Hoja1!C19</f>
        <v>880</v>
      </c>
      <c r="C4">
        <f>Hoja1!B19*Hoja1!D19</f>
        <v>594</v>
      </c>
      <c r="D4">
        <f>Hoja1!B19*Hoja1!D19</f>
        <v>594</v>
      </c>
    </row>
    <row r="5" spans="1:4" x14ac:dyDescent="0.2">
      <c r="A5">
        <f>Hoja1!B20*Hoja1!C20</f>
        <v>594</v>
      </c>
      <c r="B5">
        <f>Hoja1!B20*Hoja1!C20</f>
        <v>594</v>
      </c>
      <c r="C5">
        <f>Hoja1!B20*Hoja1!D20</f>
        <v>300</v>
      </c>
      <c r="D5">
        <f>Hoja1!B20*Hoja1!D20</f>
        <v>300</v>
      </c>
    </row>
    <row r="6" spans="1:4" x14ac:dyDescent="0.2">
      <c r="A6">
        <f>Hoja1!B21*Hoja1!C21</f>
        <v>1782</v>
      </c>
      <c r="B6">
        <f>Hoja1!B21*Hoja1!C21</f>
        <v>1782</v>
      </c>
      <c r="C6">
        <f>Hoja1!B21*Hoja1!D21</f>
        <v>840</v>
      </c>
      <c r="D6">
        <f>Hoja1!B21*Hoja1!D21</f>
        <v>840</v>
      </c>
    </row>
    <row r="7" spans="1:4" x14ac:dyDescent="0.2">
      <c r="A7">
        <f>Hoja1!B22*Hoja1!C22</f>
        <v>2360</v>
      </c>
      <c r="B7">
        <f>Hoja1!B22*Hoja1!C22</f>
        <v>2360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996</v>
      </c>
      <c r="B8">
        <f>Hoja1!B23*Hoja1!C23</f>
        <v>996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2532</v>
      </c>
      <c r="B9">
        <f>Hoja1!B24*Hoja1!C24</f>
        <v>2532</v>
      </c>
      <c r="C9">
        <f>Hoja1!B24*Hoja1!D24</f>
        <v>120</v>
      </c>
      <c r="D9">
        <f>Hoja1!B24*Hoja1!D24</f>
        <v>120</v>
      </c>
    </row>
    <row r="10" spans="1:4" x14ac:dyDescent="0.2">
      <c r="A10">
        <f>Hoja1!B25*Hoja1!C25</f>
        <v>2910</v>
      </c>
      <c r="B10">
        <f>Hoja1!B25*Hoja1!C25</f>
        <v>2910</v>
      </c>
      <c r="C10">
        <f>Hoja1!B25*Hoja1!D25</f>
        <v>1800</v>
      </c>
      <c r="D10">
        <f>Hoja1!B25*Hoja1!D25</f>
        <v>1800</v>
      </c>
    </row>
    <row r="11" spans="1:4" x14ac:dyDescent="0.2">
      <c r="A11">
        <f>Hoja1!B26*Hoja1!C26</f>
        <v>3808</v>
      </c>
      <c r="B11">
        <f>Hoja1!B26*Hoja1!C26</f>
        <v>3808</v>
      </c>
      <c r="C11">
        <f>Hoja1!B26*Hoja1!D26</f>
        <v>2100</v>
      </c>
      <c r="D11">
        <f>Hoja1!B26*Hoja1!D26</f>
        <v>2100</v>
      </c>
    </row>
    <row r="12" spans="1:4" x14ac:dyDescent="0.2">
      <c r="A12">
        <f>Hoja1!B27*Hoja1!C27</f>
        <v>1347</v>
      </c>
      <c r="B12">
        <f>Hoja1!B27*Hoja1!C27</f>
        <v>1347</v>
      </c>
      <c r="C12">
        <f>Hoja1!B27*Hoja1!D27</f>
        <v>900</v>
      </c>
      <c r="D12">
        <f>Hoja1!B27*Hoja1!D27</f>
        <v>900</v>
      </c>
    </row>
    <row r="13" spans="1:4" x14ac:dyDescent="0.2">
      <c r="A13">
        <f>Hoja1!B28*Hoja1!C28</f>
        <v>1785</v>
      </c>
      <c r="B13">
        <f>Hoja1!B28*Hoja1!C28</f>
        <v>1785</v>
      </c>
      <c r="C13">
        <f>Hoja1!B28*Hoja1!D28</f>
        <v>1443</v>
      </c>
      <c r="D13">
        <f>Hoja1!B28*Hoja1!D28</f>
        <v>1443</v>
      </c>
    </row>
    <row r="14" spans="1:4" x14ac:dyDescent="0.2">
      <c r="A14">
        <f>Hoja1!B29*Hoja1!C29</f>
        <v>854</v>
      </c>
      <c r="B14">
        <f>Hoja1!B29*Hoja1!C29</f>
        <v>854</v>
      </c>
      <c r="C14">
        <f>Hoja1!B29*Hoja1!D29</f>
        <v>600</v>
      </c>
      <c r="D14">
        <f>Hoja1!B29*Hoja1!D29</f>
        <v>600</v>
      </c>
    </row>
    <row r="15" spans="1:4" x14ac:dyDescent="0.2">
      <c r="A15">
        <f>Hoja1!B30*Hoja1!C30</f>
        <v>427</v>
      </c>
      <c r="B15">
        <f>Hoja1!B30*Hoja1!C30</f>
        <v>427</v>
      </c>
      <c r="C15">
        <f>Hoja1!B30*Hoja1!D30</f>
        <v>280</v>
      </c>
      <c r="D15">
        <f>Hoja1!B30*Hoja1!D30</f>
        <v>280</v>
      </c>
    </row>
    <row r="16" spans="1:4" x14ac:dyDescent="0.2">
      <c r="A16">
        <f>Hoja1!B31*Hoja1!C31</f>
        <v>544</v>
      </c>
      <c r="B16">
        <f>Hoja1!B31*Hoja1!C31</f>
        <v>544</v>
      </c>
      <c r="C16">
        <f>Hoja1!B31*Hoja1!D31</f>
        <v>409</v>
      </c>
      <c r="D16">
        <f>Hoja1!B31*Hoja1!D31</f>
        <v>409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2025-05-05T19:30:20Z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